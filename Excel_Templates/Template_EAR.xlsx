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10" yWindow="3555" windowWidth="24780" windowHeight="16800" tabRatio="820" firstSheet="0" activeTab="0" autoFilterDateGrouping="1"/>
  </bookViews>
  <sheets>
    <sheet xmlns:r="http://schemas.openxmlformats.org/officeDocument/2006/relationships" name="1.ป่า" sheetId="1" state="visible" r:id="rId1"/>
    <sheet xmlns:r="http://schemas.openxmlformats.org/officeDocument/2006/relationships" name="2.พื้นที่หมู่บ้าน" sheetId="2" state="visible" r:id="rId2"/>
    <sheet xmlns:r="http://schemas.openxmlformats.org/officeDocument/2006/relationships" name="พื้นที่อ่อนไหว" sheetId="3" state="visible" r:id="rId3"/>
    <sheet xmlns:r="http://schemas.openxmlformats.org/officeDocument/2006/relationships" name="3.การชะล้างพังทลาย" sheetId="4" state="visible" r:id="rId4"/>
    <sheet xmlns:r="http://schemas.openxmlformats.org/officeDocument/2006/relationships" name="4.พื้นที่คงสภาพป่า" sheetId="5" state="visible" r:id="rId5"/>
    <sheet xmlns:r="http://schemas.openxmlformats.org/officeDocument/2006/relationships" name="5.จุดตัดแหล่งน้ำ" sheetId="6" state="visible" r:id="rId6"/>
    <sheet xmlns:r="http://schemas.openxmlformats.org/officeDocument/2006/relationships" name="6.ความลาดชันของพื้นที่" sheetId="7" state="visible" r:id="rId7"/>
    <sheet xmlns:r="http://schemas.openxmlformats.org/officeDocument/2006/relationships" name="7.ชุดดิน" sheetId="8" state="visible" r:id="rId8"/>
    <sheet xmlns:r="http://schemas.openxmlformats.org/officeDocument/2006/relationships" name="8.การใช้ประโยชน์ที่ดิน" sheetId="9" state="visible" r:id="rId9"/>
    <sheet xmlns:r="http://schemas.openxmlformats.org/officeDocument/2006/relationships" name="9.แหล่งโบราณสถาน" sheetId="10" state="visible" r:id="rId10"/>
    <sheet xmlns:r="http://schemas.openxmlformats.org/officeDocument/2006/relationships" name="10.ชั้นคุณภาพลุ่มน้ำ" sheetId="11" state="visible" r:id="rId11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4">
    <font>
      <name val="Calibri"/>
      <charset val="222"/>
      <family val="2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charset val="222"/>
      <family val="2"/>
      <color theme="1"/>
      <sz val="8"/>
      <scheme val="minor"/>
    </font>
    <font>
      <name val="Calibri"/>
      <charset val="222"/>
      <family val="2"/>
      <sz val="8"/>
      <scheme val="minor"/>
    </font>
    <font>
      <name val="Calibri"/>
      <family val="2"/>
      <color theme="1"/>
      <sz val="8"/>
      <scheme val="minor"/>
    </font>
    <font>
      <name val="TH SarabunPSK"/>
      <family val="2"/>
      <b val="1"/>
      <color theme="1"/>
      <sz val="11"/>
    </font>
    <font>
      <name val="TH SarabunPSK"/>
      <family val="2"/>
      <b val="1"/>
      <color theme="1"/>
      <sz val="16"/>
    </font>
    <font>
      <name val="TH SarabunPSK"/>
      <family val="2"/>
      <b val="1"/>
      <color theme="1"/>
      <sz val="14"/>
    </font>
    <font>
      <name val="TH SarabunPSK"/>
      <family val="2"/>
      <color theme="1"/>
      <sz val="14"/>
    </font>
    <font>
      <name val="TH SarabunPSK"/>
      <family val="2"/>
      <b val="1"/>
      <color rgb="FF000000"/>
      <sz val="12"/>
    </font>
    <font>
      <name val="TH SarabunPSK"/>
      <family val="2"/>
      <b val="1"/>
      <color theme="1"/>
      <sz val="12"/>
    </font>
    <font>
      <name val="Calibri Light"/>
      <family val="2"/>
      <sz val="8"/>
      <scheme val="major"/>
    </font>
    <font>
      <name val="Calibri"/>
      <family val="2"/>
      <color theme="1"/>
      <sz val="11"/>
      <scheme val="minor"/>
    </font>
    <font>
      <name val="TH SarabunPSK"/>
      <family val="2"/>
      <color theme="1"/>
      <sz val="12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98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0" fillId="0" borderId="0" pivotButton="0" quotePrefix="0" xfId="0"/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4" fontId="1" fillId="4" borderId="2" applyAlignment="1" pivotButton="0" quotePrefix="0" xfId="0">
      <alignment horizontal="center" vertical="center"/>
    </xf>
    <xf numFmtId="2" fontId="1" fillId="4" borderId="2" applyAlignment="1" pivotButton="0" quotePrefix="0" xfId="0">
      <alignment horizontal="center" vertical="center"/>
    </xf>
    <xf numFmtId="164" fontId="1" fillId="4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2" fontId="1" fillId="2" borderId="2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2" fontId="7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2" fontId="8" fillId="0" borderId="12" applyAlignment="1" pivotButton="0" quotePrefix="0" xfId="0">
      <alignment horizontal="center" vertical="center"/>
    </xf>
    <xf numFmtId="0" fontId="1" fillId="0" borderId="0" pivotButton="0" quotePrefix="0" xfId="0"/>
    <xf numFmtId="0" fontId="9" fillId="2" borderId="0" applyAlignment="1" pivotButton="0" quotePrefix="0" xfId="0">
      <alignment horizontal="center"/>
    </xf>
    <xf numFmtId="165" fontId="0" fillId="0" borderId="0" pivotButton="0" quotePrefix="0" xfId="0"/>
    <xf numFmtId="0" fontId="4" fillId="2" borderId="1" applyAlignment="1" pivotButton="0" quotePrefix="0" xfId="0">
      <alignment horizontal="center"/>
    </xf>
    <xf numFmtId="4" fontId="4" fillId="2" borderId="1" applyAlignment="1" pivotButton="0" quotePrefix="0" xfId="0">
      <alignment horizont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2" fontId="8" fillId="0" borderId="14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4" fontId="10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0" borderId="15" applyAlignment="1" pivotButton="0" quotePrefix="0" xfId="0">
      <alignment horizontal="center"/>
    </xf>
    <xf numFmtId="2" fontId="4" fillId="0" borderId="5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0" fillId="7" borderId="1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2" fontId="4" fillId="2" borderId="1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/>
    </xf>
    <xf numFmtId="1" fontId="0" fillId="0" borderId="0" pivotButton="0" quotePrefix="0" xfId="0"/>
    <xf numFmtId="2" fontId="4" fillId="2" borderId="15" applyAlignment="1" pivotButton="0" quotePrefix="0" xfId="0">
      <alignment horizontal="center"/>
    </xf>
    <xf numFmtId="2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2" fontId="1" fillId="2" borderId="7" applyAlignment="1" pivotButton="0" quotePrefix="0" xfId="0">
      <alignment horizontal="center"/>
    </xf>
    <xf numFmtId="4" fontId="13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1" fontId="4" fillId="0" borderId="1" applyAlignment="1" pivotButton="0" quotePrefix="0" xfId="0">
      <alignment horizontal="left"/>
    </xf>
    <xf numFmtId="0" fontId="1" fillId="2" borderId="15" applyAlignment="1" pivotButton="0" quotePrefix="0" xfId="0">
      <alignment horizontal="center"/>
    </xf>
    <xf numFmtId="0" fontId="4" fillId="0" borderId="1" pivotButton="0" quotePrefix="0" xfId="0"/>
    <xf numFmtId="1" fontId="13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2" fontId="4" fillId="0" borderId="5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2" fontId="1" fillId="3" borderId="1" applyAlignment="1" pivotButton="0" quotePrefix="0" xfId="0">
      <alignment horizontal="center" vertical="center"/>
    </xf>
    <xf numFmtId="2" fontId="1" fillId="3" borderId="2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/>
    </xf>
    <xf numFmtId="0" fontId="4" fillId="5" borderId="6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4" fillId="5" borderId="23" applyAlignment="1" pivotButton="0" quotePrefix="0" xfId="0">
      <alignment horizontal="center"/>
    </xf>
    <xf numFmtId="0" fontId="0" fillId="0" borderId="25" pivotButton="0" quotePrefix="0" xfId="0"/>
    <xf numFmtId="0" fontId="0" fillId="0" borderId="8" pivotButton="0" quotePrefix="0" xfId="0"/>
    <xf numFmtId="0" fontId="2" fillId="5" borderId="2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ปกติ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4</row>
      <rowOff>0</rowOff>
    </from>
    <to>
      <col>32</col>
      <colOff>460032</colOff>
      <row>26</row>
      <rowOff>38690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71525"/>
          <a:ext cx="20291082" cy="42296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zoomScaleNormal="100" workbookViewId="0">
      <selection activeCell="K4" sqref="K4"/>
    </sheetView>
  </sheetViews>
  <sheetFormatPr baseColWidth="8" defaultRowHeight="15"/>
  <cols>
    <col width="40.42578125" bestFit="1" customWidth="1" style="2" min="1" max="1"/>
    <col width="9.5703125" customWidth="1" style="5" min="2" max="2"/>
    <col width="10.140625" customWidth="1" style="5" min="3" max="3"/>
    <col width="9.28515625" customWidth="1" style="5" min="4" max="4"/>
    <col width="16.140625" customWidth="1" min="5" max="5"/>
    <col width="12.28515625" customWidth="1" style="1" min="6" max="6"/>
    <col width="14.28515625" customWidth="1" style="6" min="7" max="7"/>
    <col width="29.28515625" bestFit="1" customWidth="1" min="8" max="8"/>
    <col width="13.140625" customWidth="1" min="9" max="9"/>
    <col width="12.42578125" customWidth="1" min="10" max="10"/>
    <col width="10.42578125" customWidth="1" min="11" max="11"/>
    <col width="13.85546875" customWidth="1" min="12" max="12"/>
    <col width="16.7109375" customWidth="1" style="8" min="13" max="13"/>
    <col width="19.7109375" customWidth="1" min="14" max="14"/>
  </cols>
  <sheetData>
    <row r="1">
      <c r="A1" s="76" t="inlineStr">
        <is>
          <t>ป่าสงวนแห่งชาติ</t>
        </is>
      </c>
      <c r="B1" s="78" t="inlineStr">
        <is>
          <t>เขตทาง</t>
        </is>
      </c>
      <c r="C1" s="89" t="n"/>
      <c r="D1" s="89" t="n"/>
      <c r="E1" s="89" t="n"/>
      <c r="F1" s="90" t="n"/>
      <c r="H1" s="76" t="inlineStr">
        <is>
          <t>ป่าถาวร</t>
        </is>
      </c>
      <c r="I1" s="78" t="inlineStr">
        <is>
          <t>เขตทาง</t>
        </is>
      </c>
      <c r="J1" s="89" t="n"/>
      <c r="K1" s="89" t="n"/>
      <c r="L1" s="89" t="n"/>
      <c r="M1" s="90" t="n"/>
    </row>
    <row r="2" ht="22.5" customHeight="1">
      <c r="A2" s="91" t="n"/>
      <c r="B2" s="9" t="inlineStr">
        <is>
          <t>ตร.กม.</t>
        </is>
      </c>
      <c r="C2" s="9" t="inlineStr">
        <is>
          <t>ตร.ม.</t>
        </is>
      </c>
      <c r="D2" s="9" t="inlineStr">
        <is>
          <t>ไร่</t>
        </is>
      </c>
      <c r="E2" s="10" t="inlineStr">
        <is>
          <t>กม.</t>
        </is>
      </c>
      <c r="F2" s="11" t="inlineStr">
        <is>
          <t>ระยะทาง (กิโลเมตร)</t>
        </is>
      </c>
      <c r="H2" s="91" t="n"/>
      <c r="I2" s="9" t="inlineStr">
        <is>
          <t>ตร.กม.</t>
        </is>
      </c>
      <c r="J2" s="9" t="inlineStr">
        <is>
          <t>ตร.ม.</t>
        </is>
      </c>
      <c r="K2" s="9" t="inlineStr">
        <is>
          <t>ไร่</t>
        </is>
      </c>
      <c r="L2" s="10" t="inlineStr">
        <is>
          <t>กม.</t>
        </is>
      </c>
      <c r="M2" s="11" t="inlineStr">
        <is>
          <t>ระยะทาง (กิโลเมตร)</t>
        </is>
      </c>
    </row>
    <row r="3" ht="110.25" customHeight="1">
      <c r="A3" s="62" t="inlineStr">
        <is>
          <t>ป่าแม่ยวมฝั่งซ้าย Zone None</t>
        </is>
      </c>
      <c r="B3" s="72">
        <f>C3/1000000</f>
        <v/>
      </c>
      <c r="C3" s="72" t="n">
        <v>185594.9</v>
      </c>
      <c r="D3" s="72">
        <f>C3/1600</f>
        <v/>
      </c>
      <c r="E3" s="74" t="inlineStr">
        <is>
          <t>203+678 - 204+152
204+306 - 205+126
212+016 - 213+021
213+784 - 216+463
216+662 - 216+773
217+112 - 217+768
224+828 - 225+098
228+628 - 228+982</t>
        </is>
      </c>
      <c r="F3" s="60" t="inlineStr">
        <is>
          <t>0.474
0.820
1.005
2.679
0.111
0.656
0.270
0.354</t>
        </is>
      </c>
      <c r="G3" s="7" t="n"/>
      <c r="H3" s="61" t="inlineStr">
        <is>
          <t>ป่าแม่ยวมฝั่งซ้าย (แปลง 2)</t>
        </is>
      </c>
      <c r="I3" s="72">
        <f>J3/1000000</f>
        <v/>
      </c>
      <c r="J3" s="72" t="n">
        <v>70517.34</v>
      </c>
      <c r="K3" s="72">
        <f>J3/1600</f>
        <v/>
      </c>
      <c r="L3" s="51" t="inlineStr">
        <is>
          <t>210+961 - 212+515
216+287 - 217+411
220+327 - 220+474
223+160 - 223+291
224+239 - 224+711
225+175 - 225+504
225+680 - 225+782
228+808 - 228+992</t>
        </is>
      </c>
      <c r="M3" s="60" t="inlineStr">
        <is>
          <t>1.554
1.124
0.147
0.131
0.472
0.329
0.102
0.184</t>
        </is>
      </c>
    </row>
    <row r="4" ht="135" customHeight="1">
      <c r="A4" s="62" t="inlineStr">
        <is>
          <t>ป่าแม่ยวมฝั่งซ้าย Zone E</t>
        </is>
      </c>
      <c r="B4" s="71">
        <f>C4/1000000</f>
        <v/>
      </c>
      <c r="C4" s="72" t="n">
        <v>779875.8</v>
      </c>
      <c r="D4" s="73">
        <f>C4/1600</f>
        <v/>
      </c>
      <c r="E4" s="74" t="inlineStr">
        <is>
          <t>190+350 - 191+232
197+811 - 199+506
206+833 - 208+484
208+856 - 212+082
212+874 - 213+289
216+770 - 217+124
217+726 - 220+251
220+774 - 221+370
221+661 - 222+309
223+241 - 224+435
224+573 - 224+830
225+099 - 228+627</t>
        </is>
      </c>
      <c r="F4" s="60" t="inlineStr">
        <is>
          <t>0.882
1.695
1.651
3.226
0.415
0.354
2.525
0.596
0.648
1.194
0.257
3.528</t>
        </is>
      </c>
    </row>
    <row r="5" ht="53.25" customHeight="1">
      <c r="A5" s="62" t="inlineStr">
        <is>
          <t>ป่าแม่ยวมฝั่งซ้าย Zone C</t>
        </is>
      </c>
      <c r="B5" s="71">
        <f>C5/1000000</f>
        <v/>
      </c>
      <c r="C5" s="72" t="n">
        <v>1079367</v>
      </c>
      <c r="D5" s="73">
        <f>C5/1600</f>
        <v/>
      </c>
      <c r="E5" s="74" t="inlineStr">
        <is>
          <t>190+594 - 198+696
199+507 - 204+380
205+101 - 206+403
207+221 - 208+855</t>
        </is>
      </c>
      <c r="F5" s="68" t="inlineStr">
        <is>
          <t>8.102
4.873
1.302
1.634</t>
        </is>
      </c>
    </row>
    <row r="6">
      <c r="A6" s="62" t="inlineStr">
        <is>
          <t>ป่าท่าสองยาง Zone E</t>
        </is>
      </c>
      <c r="B6" s="40">
        <f>C6/1000000</f>
        <v/>
      </c>
      <c r="C6" s="40" t="n">
        <v>3600.919</v>
      </c>
      <c r="D6" s="40">
        <f>C6/1600</f>
        <v/>
      </c>
      <c r="E6" s="34" t="inlineStr">
        <is>
          <t>190+318 - 190+350</t>
        </is>
      </c>
      <c r="F6" s="39" t="n">
        <v>0.032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mergeCells count="4">
    <mergeCell ref="H1:H2"/>
    <mergeCell ref="I1:M1"/>
    <mergeCell ref="B1:F1"/>
    <mergeCell ref="A1:A2"/>
  </mergeCells>
  <pageMargins left="0.7" right="0.7" top="0.75" bottom="0.75" header="0.3" footer="0.3"/>
  <pageSetup orientation="landscape" paperSize="6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J2" sqref="J2"/>
    </sheetView>
  </sheetViews>
  <sheetFormatPr baseColWidth="8" defaultRowHeight="15"/>
  <cols>
    <col width="6.28515625" customWidth="1" style="3" min="1" max="1"/>
    <col width="13.42578125" customWidth="1" style="37" min="2" max="2"/>
    <col width="23.28515625" bestFit="1" customWidth="1" style="37" min="3" max="3"/>
    <col width="23.5703125" customWidth="1" style="2" min="4" max="4"/>
    <col width="11.42578125" customWidth="1" style="2" min="5" max="5"/>
    <col width="12.7109375" customWidth="1" style="2" min="6" max="6"/>
    <col width="11" customWidth="1" min="7" max="7"/>
    <col width="12.85546875" customWidth="1" min="8" max="8"/>
    <col width="43.42578125" bestFit="1" customWidth="1" style="2" min="10" max="10"/>
  </cols>
  <sheetData>
    <row r="1">
      <c r="A1" s="75" t="inlineStr">
        <is>
          <t>หมู่บ้านที่อยู่ในพื้นที่ศึกษาระยะ 1 กิโลเมตร</t>
        </is>
      </c>
      <c r="B1" s="89" t="n"/>
      <c r="C1" s="89" t="n"/>
      <c r="D1" s="89" t="n"/>
      <c r="E1" s="89" t="n"/>
      <c r="F1" s="90" t="n"/>
      <c r="G1" s="63" t="n"/>
      <c r="I1" s="2" t="n"/>
    </row>
    <row r="2">
      <c r="A2" s="25" t="inlineStr">
        <is>
          <t>ลำดับที่</t>
        </is>
      </c>
      <c r="B2" s="43" t="inlineStr">
        <is>
          <t>หมู่</t>
        </is>
      </c>
      <c r="C2" s="43" t="inlineStr">
        <is>
          <t>หมู่บ้าน</t>
        </is>
      </c>
      <c r="D2" s="43" t="inlineStr">
        <is>
          <t>อ</t>
        </is>
      </c>
      <c r="E2" s="43" t="inlineStr">
        <is>
          <t>ตำบล</t>
        </is>
      </c>
      <c r="F2" s="43" t="inlineStr">
        <is>
          <t>อำเภอ</t>
        </is>
      </c>
      <c r="G2" s="43" t="inlineStr">
        <is>
          <t>จังหวัด</t>
        </is>
      </c>
    </row>
    <row r="3">
      <c r="A3" s="34" t="n">
        <v>1</v>
      </c>
      <c r="B3" s="36" t="inlineStr">
        <is>
          <t>01</t>
        </is>
      </c>
      <c r="C3" s="36" t="inlineStr">
        <is>
          <t>บ้านในเวียง</t>
        </is>
      </c>
      <c r="D3" s="34" t="inlineStr">
        <is>
          <t>เทศบาลตำบลแม่สะเรียง</t>
        </is>
      </c>
      <c r="E3" s="36" t="inlineStr">
        <is>
          <t>แม่สะเรียง</t>
        </is>
      </c>
      <c r="F3" s="36" t="inlineStr">
        <is>
          <t>แม่สะเรียง</t>
        </is>
      </c>
      <c r="G3" s="36" t="inlineStr">
        <is>
          <t>แม่ฮ่องสอน</t>
        </is>
      </c>
    </row>
    <row r="4">
      <c r="A4" s="34" t="n">
        <v>2</v>
      </c>
      <c r="B4" s="36" t="inlineStr">
        <is>
          <t>04</t>
        </is>
      </c>
      <c r="C4" s="36" t="inlineStr">
        <is>
          <t>บ้านห้วยปุ๊</t>
        </is>
      </c>
      <c r="D4" s="34" t="inlineStr">
        <is>
          <t>เทศบาลตำบลแม่สะเรียง</t>
        </is>
      </c>
      <c r="E4" s="36" t="inlineStr">
        <is>
          <t>แม่สะเรียง</t>
        </is>
      </c>
      <c r="F4" s="36" t="inlineStr">
        <is>
          <t>แม่สะเรียง</t>
        </is>
      </c>
      <c r="G4" s="36" t="inlineStr">
        <is>
          <t>แม่ฮ่องสอน</t>
        </is>
      </c>
    </row>
    <row r="5">
      <c r="A5" s="34" t="n">
        <v>3</v>
      </c>
      <c r="B5" s="36" t="inlineStr">
        <is>
          <t>05</t>
        </is>
      </c>
      <c r="C5" s="36" t="inlineStr">
        <is>
          <t>บ้านดงสงัด</t>
        </is>
      </c>
      <c r="D5" s="34" t="inlineStr">
        <is>
          <t>เทศบาลตำบลแม่สะเรียง</t>
        </is>
      </c>
      <c r="E5" s="36" t="inlineStr">
        <is>
          <t>แม่สะเรียง</t>
        </is>
      </c>
      <c r="F5" s="36" t="inlineStr">
        <is>
          <t>แม่สะเรียง</t>
        </is>
      </c>
      <c r="G5" s="36" t="inlineStr">
        <is>
          <t>แม่ฮ่องสอน</t>
        </is>
      </c>
    </row>
    <row r="6">
      <c r="A6" s="34" t="n">
        <v>4</v>
      </c>
      <c r="B6" s="36" t="inlineStr">
        <is>
          <t>06</t>
        </is>
      </c>
      <c r="C6" s="36" t="inlineStr">
        <is>
          <t>บ้านหนองผักหนาม</t>
        </is>
      </c>
      <c r="D6" s="34" t="inlineStr">
        <is>
          <t>เทศบาลตำบลแม่สะเรียง</t>
        </is>
      </c>
      <c r="E6" s="36" t="inlineStr">
        <is>
          <t>แม่สะเรียง</t>
        </is>
      </c>
      <c r="F6" s="36" t="inlineStr">
        <is>
          <t>แม่สะเรียง</t>
        </is>
      </c>
      <c r="G6" s="36" t="inlineStr">
        <is>
          <t>แม่ฮ่องสอน</t>
        </is>
      </c>
    </row>
    <row r="7">
      <c r="A7" s="34" t="n">
        <v>5</v>
      </c>
      <c r="B7" s="36" t="inlineStr">
        <is>
          <t>07</t>
        </is>
      </c>
      <c r="C7" s="36" t="inlineStr">
        <is>
          <t>บ้านป่ากล้วย</t>
        </is>
      </c>
      <c r="D7" s="34" t="inlineStr">
        <is>
          <t>เทศบาลตำบลแม่สะเรียง</t>
        </is>
      </c>
      <c r="E7" s="36" t="inlineStr">
        <is>
          <t>แม่สะเรียง</t>
        </is>
      </c>
      <c r="F7" s="36" t="inlineStr">
        <is>
          <t>แม่สะเรียง</t>
        </is>
      </c>
      <c r="G7" s="36" t="inlineStr">
        <is>
          <t>แม่ฮ่องสอน</t>
        </is>
      </c>
    </row>
    <row r="8">
      <c r="A8" s="34" t="n">
        <v>6</v>
      </c>
      <c r="B8" s="36" t="inlineStr">
        <is>
          <t>03</t>
        </is>
      </c>
      <c r="C8" s="36" t="inlineStr">
        <is>
          <t>บ้านห้วยสิงห์เหนือ</t>
        </is>
      </c>
      <c r="D8" s="34" t="inlineStr">
        <is>
          <t>เทศบาลตำบลแม่ยวม</t>
        </is>
      </c>
      <c r="E8" s="36" t="inlineStr">
        <is>
          <t>แม่ยวม</t>
        </is>
      </c>
      <c r="F8" s="36" t="inlineStr">
        <is>
          <t>แม่สะเรียง</t>
        </is>
      </c>
      <c r="G8" s="36" t="inlineStr">
        <is>
          <t>แม่ฮ่องสอน</t>
        </is>
      </c>
    </row>
    <row r="9">
      <c r="A9" s="34" t="n">
        <v>7</v>
      </c>
      <c r="B9" s="36" t="inlineStr">
        <is>
          <t>11</t>
        </is>
      </c>
      <c r="C9" s="36" t="inlineStr">
        <is>
          <t>บ้านแม่ริดน้อย</t>
        </is>
      </c>
      <c r="D9" s="34" t="inlineStr">
        <is>
          <t>เทศบาลตำบลแม่ยวม</t>
        </is>
      </c>
      <c r="E9" s="36" t="inlineStr">
        <is>
          <t>แม่ยวม</t>
        </is>
      </c>
      <c r="F9" s="36" t="inlineStr">
        <is>
          <t>แม่สะเรียง</t>
        </is>
      </c>
      <c r="G9" s="36" t="inlineStr">
        <is>
          <t>แม่ฮ่องสอน</t>
        </is>
      </c>
    </row>
    <row r="10">
      <c r="A10" s="34" t="n">
        <v>8</v>
      </c>
      <c r="B10" s="36" t="inlineStr">
        <is>
          <t>01</t>
        </is>
      </c>
      <c r="C10" s="36" t="inlineStr">
        <is>
          <t>บ้านไหม้</t>
        </is>
      </c>
      <c r="D10" s="34" t="inlineStr">
        <is>
          <t>อบต.แม่คะตวน</t>
        </is>
      </c>
      <c r="E10" s="36" t="inlineStr">
        <is>
          <t>แม่คะตวน</t>
        </is>
      </c>
      <c r="F10" s="36" t="inlineStr">
        <is>
          <t>สบเมย</t>
        </is>
      </c>
      <c r="G10" s="36" t="inlineStr">
        <is>
          <t>แม่ฮ่องสอน</t>
        </is>
      </c>
    </row>
    <row r="11">
      <c r="A11" s="34" t="n">
        <v>9</v>
      </c>
      <c r="B11" s="36" t="inlineStr">
        <is>
          <t>02</t>
        </is>
      </c>
      <c r="C11" s="36" t="inlineStr">
        <is>
          <t>บ้านแม่เกาะ</t>
        </is>
      </c>
      <c r="D11" s="34" t="inlineStr">
        <is>
          <t>อบต.แม่คะตวน</t>
        </is>
      </c>
      <c r="E11" s="36" t="inlineStr">
        <is>
          <t>แม่คะตวน</t>
        </is>
      </c>
      <c r="F11" s="36" t="inlineStr">
        <is>
          <t>สบเมย</t>
        </is>
      </c>
      <c r="G11" s="36" t="inlineStr">
        <is>
          <t>แม่ฮ่องสอน</t>
        </is>
      </c>
    </row>
    <row r="12">
      <c r="A12" s="34" t="n">
        <v>10</v>
      </c>
      <c r="B12" s="36" t="inlineStr">
        <is>
          <t>03</t>
        </is>
      </c>
      <c r="C12" s="36" t="inlineStr">
        <is>
          <t>บ้านแม่ออกใต้</t>
        </is>
      </c>
      <c r="D12" s="34" t="inlineStr">
        <is>
          <t>อบต.แม่คะตวน</t>
        </is>
      </c>
      <c r="E12" s="36" t="inlineStr">
        <is>
          <t>แม่คะตวน</t>
        </is>
      </c>
      <c r="F12" s="36" t="inlineStr">
        <is>
          <t>สบเมย</t>
        </is>
      </c>
      <c r="G12" s="36" t="inlineStr">
        <is>
          <t>แม่ฮ่องสอน</t>
        </is>
      </c>
    </row>
    <row r="13">
      <c r="A13" s="34" t="n">
        <v>11</v>
      </c>
      <c r="B13" s="36" t="inlineStr">
        <is>
          <t>05</t>
        </is>
      </c>
      <c r="C13" s="36" t="inlineStr">
        <is>
          <t>บ้านแม่ออกกลาง</t>
        </is>
      </c>
      <c r="D13" s="34" t="inlineStr">
        <is>
          <t>อบต.แม่คะตวน</t>
        </is>
      </c>
      <c r="E13" s="36" t="inlineStr">
        <is>
          <t>แม่คะตวน</t>
        </is>
      </c>
      <c r="F13" s="36" t="inlineStr">
        <is>
          <t>สบเมย</t>
        </is>
      </c>
      <c r="G13" s="36" t="inlineStr">
        <is>
          <t>แม่ฮ่องสอน</t>
        </is>
      </c>
    </row>
    <row r="14">
      <c r="A14" s="34" t="n">
        <v>12</v>
      </c>
      <c r="B14" s="36" t="inlineStr">
        <is>
          <t>02</t>
        </is>
      </c>
      <c r="C14" s="36" t="inlineStr">
        <is>
          <t>บ้านขุนแม่คะตวน</t>
        </is>
      </c>
      <c r="D14" s="34" t="inlineStr">
        <is>
          <t>อบต.สบเมย</t>
        </is>
      </c>
      <c r="E14" s="36" t="inlineStr">
        <is>
          <t>สบเมย</t>
        </is>
      </c>
      <c r="F14" s="36" t="inlineStr">
        <is>
          <t>สบเมย</t>
        </is>
      </c>
      <c r="G14" s="36" t="inlineStr">
        <is>
          <t>แม่ฮ่องสอน</t>
        </is>
      </c>
    </row>
    <row r="15">
      <c r="A15" s="34" t="n">
        <v>13</v>
      </c>
      <c r="B15" s="36" t="inlineStr">
        <is>
          <t>01</t>
        </is>
      </c>
      <c r="C15" s="36" t="inlineStr">
        <is>
          <t>บ้านห้วยม่วง</t>
        </is>
      </c>
      <c r="D15" s="34" t="inlineStr">
        <is>
          <t>อบต.แม่สวด</t>
        </is>
      </c>
      <c r="E15" s="36" t="inlineStr">
        <is>
          <t>แม่สวด</t>
        </is>
      </c>
      <c r="F15" s="36" t="inlineStr">
        <is>
          <t>สบเมย</t>
        </is>
      </c>
      <c r="G15" s="36" t="inlineStr">
        <is>
          <t>แม่ฮ่องสอน</t>
        </is>
      </c>
    </row>
    <row r="16">
      <c r="A16" s="34" t="n">
        <v>14</v>
      </c>
      <c r="B16" s="36" t="inlineStr">
        <is>
          <t>08</t>
        </is>
      </c>
      <c r="C16" s="36" t="inlineStr">
        <is>
          <t>บ้านนาดอย</t>
        </is>
      </c>
      <c r="D16" s="34" t="inlineStr">
        <is>
          <t>อบต.แม่สวด</t>
        </is>
      </c>
      <c r="E16" s="36" t="inlineStr">
        <is>
          <t>แม่สวด</t>
        </is>
      </c>
      <c r="F16" s="36" t="inlineStr">
        <is>
          <t>สบเมย</t>
        </is>
      </c>
      <c r="G16" s="36" t="inlineStr">
        <is>
          <t>แม่ฮ่องสอน</t>
        </is>
      </c>
    </row>
    <row r="17">
      <c r="A17" s="34" t="n">
        <v>15</v>
      </c>
      <c r="B17" s="36" t="inlineStr">
        <is>
          <t>03</t>
        </is>
      </c>
      <c r="C17" s="36" t="inlineStr">
        <is>
          <t>บ้านแม่วะหลวง</t>
        </is>
      </c>
      <c r="D17" s="36" t="inlineStr">
        <is>
          <t>อบต.แม่วะหลวง</t>
        </is>
      </c>
      <c r="E17" s="36" t="inlineStr">
        <is>
          <t>แม่วะหลวง</t>
        </is>
      </c>
      <c r="F17" s="36" t="inlineStr">
        <is>
          <t>ท่าสองยาง</t>
        </is>
      </c>
      <c r="G17" s="36" t="inlineStr">
        <is>
          <t>ตาก</t>
        </is>
      </c>
    </row>
    <row r="18">
      <c r="A18" s="34" t="n">
        <v>16</v>
      </c>
      <c r="B18" s="36" t="inlineStr">
        <is>
          <t>01</t>
        </is>
      </c>
      <c r="C18" s="36" t="inlineStr">
        <is>
          <t>บ้านสบหาร</t>
        </is>
      </c>
      <c r="D18" s="34" t="inlineStr">
        <is>
          <t>อบต.บ้านกาศ</t>
        </is>
      </c>
      <c r="E18" s="36" t="inlineStr">
        <is>
          <t>บ้านกาศ</t>
        </is>
      </c>
      <c r="F18" s="36" t="inlineStr">
        <is>
          <t>แม่สะเรียง</t>
        </is>
      </c>
      <c r="G18" s="36" t="inlineStr">
        <is>
          <t>แม่ฮ่องสอน</t>
        </is>
      </c>
    </row>
    <row r="19">
      <c r="K19" s="2" t="n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G44" sqref="G44"/>
    </sheetView>
  </sheetViews>
  <sheetFormatPr baseColWidth="8" defaultRowHeight="15"/>
  <cols>
    <col width="42.5703125" customWidth="1" min="2" max="2"/>
    <col width="43.140625" customWidth="1" min="3" max="3"/>
    <col width="18.7109375" customWidth="1" min="4" max="4"/>
    <col width="35.85546875" customWidth="1" min="5" max="5"/>
    <col width="17.28515625" customWidth="1" min="6" max="6"/>
  </cols>
  <sheetData>
    <row r="1">
      <c r="A1" s="92" t="inlineStr">
        <is>
          <t>สถานศึกษาที่อยู่ในพื้นที่ศึกษาระยะ 1 กิโลเมตร</t>
        </is>
      </c>
      <c r="B1" s="89" t="n"/>
      <c r="C1" s="89" t="n"/>
      <c r="D1" s="89" t="n"/>
      <c r="E1" s="93" t="n"/>
    </row>
    <row r="2">
      <c r="A2" s="25" t="inlineStr">
        <is>
          <t>ลำดับที่</t>
        </is>
      </c>
      <c r="B2" s="65" t="inlineStr">
        <is>
          <t>ชื่อ</t>
        </is>
      </c>
      <c r="C2" s="43" t="inlineStr">
        <is>
          <t>ตำบล</t>
        </is>
      </c>
      <c r="D2" s="43" t="inlineStr">
        <is>
          <t>อำเภอ</t>
        </is>
      </c>
      <c r="E2" s="43" t="inlineStr">
        <is>
          <t>จังหวัด</t>
        </is>
      </c>
    </row>
    <row r="3">
      <c r="A3" s="34" t="n">
        <v>1</v>
      </c>
      <c r="B3" s="64" t="inlineStr">
        <is>
          <t>ศูนย์พัฒนาเด็กเล็กตำบลแม่สวด</t>
        </is>
      </c>
      <c r="C3" s="64" t="inlineStr">
        <is>
          <t>ตำบลแม่สวด</t>
        </is>
      </c>
      <c r="D3" s="64" t="inlineStr">
        <is>
          <t>อำเภอสบเมย</t>
        </is>
      </c>
      <c r="E3" s="64" t="inlineStr">
        <is>
          <t>จังหวัดแม่ฮ่องสอน</t>
        </is>
      </c>
    </row>
    <row r="4">
      <c r="A4" s="34" t="n">
        <v>2</v>
      </c>
      <c r="B4" s="64" t="inlineStr">
        <is>
          <t>ศูนย์พัฒนาเด็กเครือข่ายเด็กและชุมชน</t>
        </is>
      </c>
      <c r="C4" s="64" t="inlineStr">
        <is>
          <t>ตำบลสบเมย</t>
        </is>
      </c>
      <c r="D4" s="64" t="inlineStr">
        <is>
          <t>อำเภอสบเมย</t>
        </is>
      </c>
      <c r="E4" s="64" t="inlineStr">
        <is>
          <t>จังหวัดแม่ฮ่องสอน</t>
        </is>
      </c>
    </row>
    <row r="5">
      <c r="A5" s="34" t="n">
        <v>3</v>
      </c>
      <c r="B5" s="64" t="inlineStr">
        <is>
          <t>ศูนย์พัฒนาเด็กเล็กเทิดไท้องค์ราชันบ้านผาผ่า</t>
        </is>
      </c>
      <c r="C5" s="64" t="inlineStr">
        <is>
          <t>ตำบลแม่คะตวน</t>
        </is>
      </c>
      <c r="D5" s="64" t="inlineStr">
        <is>
          <t>อำเภอสบเมย</t>
        </is>
      </c>
      <c r="E5" s="64" t="inlineStr">
        <is>
          <t>จังหวัดแม่ฮ่องสอน</t>
        </is>
      </c>
    </row>
    <row r="6">
      <c r="A6" s="34" t="n">
        <v>4</v>
      </c>
      <c r="B6" s="64" t="inlineStr">
        <is>
          <t>ศูนย์พัฒนาเด็กเล็กเทิดไท้องค์ราชันบ้านคอนผึ้ง</t>
        </is>
      </c>
      <c r="C6" s="64" t="inlineStr">
        <is>
          <t>ตำบลแม่คะตวน</t>
        </is>
      </c>
      <c r="D6" s="64" t="inlineStr">
        <is>
          <t>อำเภอสบเมย</t>
        </is>
      </c>
      <c r="E6" s="64" t="inlineStr">
        <is>
          <t>จังหวัดแม่ฮ่องสอน</t>
        </is>
      </c>
    </row>
    <row r="7">
      <c r="A7" s="34" t="n">
        <v>5</v>
      </c>
      <c r="B7" s="64" t="inlineStr">
        <is>
          <t>ศูนย์พัฒนาเด็กเล็กบ้านหนองผักหนาม</t>
        </is>
      </c>
      <c r="C7" s="64" t="inlineStr">
        <is>
          <t>ตำบลแม่สะเรียง</t>
        </is>
      </c>
      <c r="D7" s="64" t="inlineStr">
        <is>
          <t>อำเภอแม่สะเรียง</t>
        </is>
      </c>
      <c r="E7" s="64" t="inlineStr">
        <is>
          <t>จังหวัดแม่ฮ่องสอน</t>
        </is>
      </c>
    </row>
    <row r="8">
      <c r="A8" s="34" t="n">
        <v>6</v>
      </c>
      <c r="B8" s="64" t="inlineStr">
        <is>
          <t>ศูนย์พัฒนาเด็กเล็กตำบลแม่สะเรียง</t>
        </is>
      </c>
      <c r="C8" s="64" t="inlineStr">
        <is>
          <t>ตำบลแม่สะเรียง</t>
        </is>
      </c>
      <c r="D8" s="64" t="inlineStr">
        <is>
          <t>อำเภอแม่สะเรียง</t>
        </is>
      </c>
      <c r="E8" s="64" t="inlineStr">
        <is>
          <t>จังหวัดแม่ฮ่องสอน</t>
        </is>
      </c>
    </row>
    <row r="9">
      <c r="A9" s="34" t="n">
        <v>7</v>
      </c>
      <c r="B9" s="64" t="inlineStr">
        <is>
          <t>ศูนย์พัฒนาเด็กเล็กบ้านทุ่งพร้าว</t>
        </is>
      </c>
      <c r="C9" s="64" t="inlineStr">
        <is>
          <t>ตำบลแม่สะเรียง</t>
        </is>
      </c>
      <c r="D9" s="64" t="inlineStr">
        <is>
          <t>อำเภอแม่สะเรียง</t>
        </is>
      </c>
      <c r="E9" s="64" t="inlineStr">
        <is>
          <t>จังหวัดแม่ฮ่องสอน</t>
        </is>
      </c>
    </row>
    <row r="10">
      <c r="A10" s="34" t="n">
        <v>8</v>
      </c>
      <c r="B10" s="64" t="inlineStr">
        <is>
          <t>ศูนย์พัฒนาเด็กเล็กบ้านแพะ</t>
        </is>
      </c>
      <c r="C10" s="64" t="inlineStr">
        <is>
          <t>ตำบลบ้านกาศ</t>
        </is>
      </c>
      <c r="D10" s="64" t="inlineStr">
        <is>
          <t>อำเภอแม่สะเรียง</t>
        </is>
      </c>
      <c r="E10" s="64" t="inlineStr">
        <is>
          <t>จังหวัดแม่ฮ่องสอน</t>
        </is>
      </c>
    </row>
    <row r="11">
      <c r="A11" s="34" t="n">
        <v>9</v>
      </c>
      <c r="B11" s="66" t="inlineStr">
        <is>
          <t>โรงเรียนบ้านแม่เงา</t>
        </is>
      </c>
      <c r="C11" s="66" t="inlineStr">
        <is>
          <t>ตำบลแม่สวด</t>
        </is>
      </c>
      <c r="D11" s="66" t="inlineStr">
        <is>
          <t>อำเภอสบเมย</t>
        </is>
      </c>
      <c r="E11" s="66" t="inlineStr">
        <is>
          <t>จังหวัดแม่ฮ่องสอน</t>
        </is>
      </c>
    </row>
    <row r="12">
      <c r="A12" s="34" t="n">
        <v>10</v>
      </c>
      <c r="B12" s="66" t="inlineStr">
        <is>
          <t>โรงเรียนบ้านห้วยม่วง</t>
        </is>
      </c>
      <c r="C12" s="66" t="inlineStr">
        <is>
          <t>ตำบลแม่สวด</t>
        </is>
      </c>
      <c r="D12" s="66" t="inlineStr">
        <is>
          <t>อำเภอสบเมย</t>
        </is>
      </c>
      <c r="E12" s="66" t="inlineStr">
        <is>
          <t>จังหวัดแม่ฮ่องสอน</t>
        </is>
      </c>
    </row>
    <row r="13">
      <c r="A13" s="34" t="n">
        <v>11</v>
      </c>
      <c r="B13" s="66" t="inlineStr">
        <is>
          <t>โรงเรียนบ้านแม่สวด</t>
        </is>
      </c>
      <c r="C13" s="66" t="inlineStr">
        <is>
          <t>ตำบลแม่สวด</t>
        </is>
      </c>
      <c r="D13" s="66" t="inlineStr">
        <is>
          <t>อำเภอสบเมย</t>
        </is>
      </c>
      <c r="E13" s="66" t="inlineStr">
        <is>
          <t>จังหวัดแม่ฮ่องสอน</t>
        </is>
      </c>
    </row>
    <row r="14">
      <c r="A14" s="34" t="n">
        <v>12</v>
      </c>
      <c r="B14" s="66" t="inlineStr">
        <is>
          <t>โรงเรียนบ้านแม่คะตวน</t>
        </is>
      </c>
      <c r="C14" s="66" t="inlineStr">
        <is>
          <t>ตำบลสบเมย</t>
        </is>
      </c>
      <c r="D14" s="66" t="inlineStr">
        <is>
          <t>อำเภอสบเมย</t>
        </is>
      </c>
      <c r="E14" s="66" t="inlineStr">
        <is>
          <t>จังหวัดแม่ฮ่องสอน</t>
        </is>
      </c>
    </row>
    <row r="15">
      <c r="A15" s="34" t="n">
        <v>13</v>
      </c>
      <c r="B15" s="66" t="inlineStr">
        <is>
          <t>โรงเรียนบ้านแม่ทะลุ</t>
        </is>
      </c>
      <c r="C15" s="66" t="inlineStr">
        <is>
          <t>ตำบลแม่คะตวน</t>
        </is>
      </c>
      <c r="D15" s="66" t="inlineStr">
        <is>
          <t>อำเภอสบเมย</t>
        </is>
      </c>
      <c r="E15" s="66" t="inlineStr">
        <is>
          <t>จังหวัดแม่ฮ่องสอน</t>
        </is>
      </c>
    </row>
    <row r="16">
      <c r="A16" s="34" t="n">
        <v>14</v>
      </c>
      <c r="B16" s="66" t="inlineStr">
        <is>
          <t>โรงเรียนแม่เกาะวิทยา</t>
        </is>
      </c>
      <c r="C16" s="66" t="inlineStr">
        <is>
          <t>ตำบลแม่คะตวน</t>
        </is>
      </c>
      <c r="D16" s="66" t="inlineStr">
        <is>
          <t>อำเภอสบเมย</t>
        </is>
      </c>
      <c r="E16" s="66" t="inlineStr">
        <is>
          <t>จังหวัดแม่ฮ่องสอน</t>
        </is>
      </c>
    </row>
    <row r="17">
      <c r="A17" s="34" t="n">
        <v>15</v>
      </c>
      <c r="B17" s="66" t="inlineStr">
        <is>
          <t>โรงเรียนสบเมยวิทยาคม</t>
        </is>
      </c>
      <c r="C17" s="66" t="inlineStr">
        <is>
          <t>ตำบลแม่คะตวน</t>
        </is>
      </c>
      <c r="D17" s="66" t="inlineStr">
        <is>
          <t>อำเภอสบเมย</t>
        </is>
      </c>
      <c r="E17" s="66" t="inlineStr">
        <is>
          <t>จังหวัดแม่ฮ่องสอน</t>
        </is>
      </c>
    </row>
    <row r="18">
      <c r="A18" s="34" t="n">
        <v>16</v>
      </c>
      <c r="B18" s="66" t="inlineStr">
        <is>
          <t>โรงเรียนบ้านไหม้</t>
        </is>
      </c>
      <c r="C18" s="66" t="inlineStr">
        <is>
          <t>ตำบลแม่คะตวน</t>
        </is>
      </c>
      <c r="D18" s="66" t="inlineStr">
        <is>
          <t>อำเภอสบเมย</t>
        </is>
      </c>
      <c r="E18" s="66" t="inlineStr">
        <is>
          <t>จังหวัดแม่ฮ่องสอน</t>
        </is>
      </c>
    </row>
    <row r="19">
      <c r="A19" s="34" t="n">
        <v>17</v>
      </c>
      <c r="B19" s="66" t="inlineStr">
        <is>
          <t>โรงเรียนชุมชนบ้านผาผ่า</t>
        </is>
      </c>
      <c r="C19" s="66" t="inlineStr">
        <is>
          <t>ตำบลแม่คะตวน</t>
        </is>
      </c>
      <c r="D19" s="66" t="inlineStr">
        <is>
          <t>อำเภอสบเมย</t>
        </is>
      </c>
      <c r="E19" s="66" t="inlineStr">
        <is>
          <t>จังหวัดแม่ฮ่องสอน</t>
        </is>
      </c>
    </row>
    <row r="20">
      <c r="A20" s="34" t="n">
        <v>18</v>
      </c>
      <c r="B20" s="66" t="inlineStr">
        <is>
          <t>โรงเรียนอนุบาลสบเมย (คอนผึ้ง)</t>
        </is>
      </c>
      <c r="C20" s="66" t="inlineStr">
        <is>
          <t>ตำบลแม่คะตวน</t>
        </is>
      </c>
      <c r="D20" s="66" t="inlineStr">
        <is>
          <t>อำเภอสบเมย</t>
        </is>
      </c>
      <c r="E20" s="66" t="inlineStr">
        <is>
          <t>จังหวัดแม่ฮ่องสอน</t>
        </is>
      </c>
    </row>
    <row r="21">
      <c r="A21" s="34" t="n">
        <v>19</v>
      </c>
      <c r="B21" s="66" t="inlineStr">
        <is>
          <t>โรงเรียนบ้านไร่วิทยา</t>
        </is>
      </c>
      <c r="C21" s="66" t="inlineStr">
        <is>
          <t>ตำบลแม่สะเรียง</t>
        </is>
      </c>
      <c r="D21" s="66" t="inlineStr">
        <is>
          <t>อำเภอแม่สะเรียง</t>
        </is>
      </c>
      <c r="E21" s="66" t="inlineStr">
        <is>
          <t>จังหวัดแม่ฮ่องสอน</t>
        </is>
      </c>
    </row>
    <row r="22">
      <c r="A22" s="34" t="n">
        <v>20</v>
      </c>
      <c r="B22" s="66" t="inlineStr">
        <is>
          <t>โรงเรียนไทยรัฐวิทยา 33 (บ้านทุ่งพร้าว)</t>
        </is>
      </c>
      <c r="C22" s="66" t="inlineStr">
        <is>
          <t>ตำบลแม่สะเรียง</t>
        </is>
      </c>
      <c r="D22" s="66" t="inlineStr">
        <is>
          <t>อำเภอแม่สะเรียง</t>
        </is>
      </c>
      <c r="E22" s="66" t="inlineStr">
        <is>
          <t>จังหวัดแม่ฮ่องสอน</t>
        </is>
      </c>
    </row>
    <row r="23">
      <c r="A23" s="34" t="n">
        <v>21</v>
      </c>
      <c r="B23" s="66" t="inlineStr">
        <is>
          <t>โรงเรียนบ้านจอมแจ้งมิตรภาพที่ 193</t>
        </is>
      </c>
      <c r="C23" s="66" t="inlineStr">
        <is>
          <t>ตำบลแม่สะเรียง</t>
        </is>
      </c>
      <c r="D23" s="66" t="inlineStr">
        <is>
          <t>อำเภอแม่สะเรียง</t>
        </is>
      </c>
      <c r="E23" s="66" t="inlineStr">
        <is>
          <t>จังหวัดแม่ฮ่องสอน</t>
        </is>
      </c>
    </row>
    <row r="24">
      <c r="A24" s="34" t="n">
        <v>22</v>
      </c>
      <c r="B24" s="66" t="inlineStr">
        <is>
          <t>วิทยาลัยการอาชีพแม่สะเรียง</t>
        </is>
      </c>
      <c r="C24" s="66" t="inlineStr">
        <is>
          <t>ตำบลแม่สะเรียง</t>
        </is>
      </c>
      <c r="D24" s="66" t="inlineStr">
        <is>
          <t>อำเภอแม่สะเรียง</t>
        </is>
      </c>
      <c r="E24" s="66" t="inlineStr">
        <is>
          <t>จังหวัดแม่ฮ่องสอน</t>
        </is>
      </c>
    </row>
    <row r="26">
      <c r="A26" s="92" t="inlineStr">
        <is>
          <t>ศาสนสถานที่อยู่ในพื้นที่ศึกษาระยะ 1 กิโลเมตร</t>
        </is>
      </c>
      <c r="B26" s="89" t="n"/>
      <c r="C26" s="89" t="n"/>
      <c r="D26" s="89" t="n"/>
      <c r="E26" s="93" t="n"/>
    </row>
    <row r="27">
      <c r="A27" s="25" t="inlineStr">
        <is>
          <t>ลำดับที่</t>
        </is>
      </c>
      <c r="B27" s="65" t="inlineStr">
        <is>
          <t>ชื่อ</t>
        </is>
      </c>
      <c r="C27" s="43" t="inlineStr">
        <is>
          <t>ตำบล</t>
        </is>
      </c>
      <c r="D27" s="43" t="inlineStr">
        <is>
          <t>อำเภอ</t>
        </is>
      </c>
      <c r="E27" s="43" t="inlineStr">
        <is>
          <t>จังหวัด</t>
        </is>
      </c>
    </row>
    <row r="28">
      <c r="A28" s="34" t="n">
        <v>1</v>
      </c>
      <c r="B28" s="64" t="inlineStr">
        <is>
          <t>วัดห้วยทรายใต้</t>
        </is>
      </c>
      <c r="C28" s="64" t="inlineStr">
        <is>
          <t>ตำบลแม่ยวม</t>
        </is>
      </c>
      <c r="D28" s="64" t="inlineStr">
        <is>
          <t>อำเภอแม่สะเรียง</t>
        </is>
      </c>
      <c r="E28" s="64" t="inlineStr">
        <is>
          <t>จังหวัดแม่ฮ่องสอน</t>
        </is>
      </c>
    </row>
    <row r="29">
      <c r="A29" s="34" t="n">
        <v>2</v>
      </c>
      <c r="B29" s="64" t="inlineStr">
        <is>
          <t>วัดจอมทอง</t>
        </is>
      </c>
      <c r="C29" s="64" t="inlineStr">
        <is>
          <t>ตำบลแม่สะเรียง</t>
        </is>
      </c>
      <c r="D29" s="64" t="inlineStr">
        <is>
          <t>อำเภอแม่สะเรียง</t>
        </is>
      </c>
      <c r="E29" s="64" t="inlineStr">
        <is>
          <t>จังหวัดแม่ฮ่องสอน</t>
        </is>
      </c>
    </row>
    <row r="30">
      <c r="A30" s="34" t="n">
        <v>3</v>
      </c>
      <c r="B30" s="64" t="inlineStr">
        <is>
          <t>วัดคอนผึ้ง (นพค. 36 อุปถัมภ์)</t>
        </is>
      </c>
      <c r="C30" s="64" t="inlineStr">
        <is>
          <t>ตำบลแม่คะตวน</t>
        </is>
      </c>
      <c r="D30" s="64" t="inlineStr">
        <is>
          <t>อำเภอสบเมย</t>
        </is>
      </c>
      <c r="E30" s="64" t="inlineStr">
        <is>
          <t>จังหวัดแม่ฮ่องสอน</t>
        </is>
      </c>
    </row>
    <row r="31">
      <c r="A31" s="34" t="n">
        <v>4</v>
      </c>
      <c r="B31" s="64" t="inlineStr">
        <is>
          <t>วัดดอยเกิ้ง</t>
        </is>
      </c>
      <c r="C31" s="64" t="inlineStr">
        <is>
          <t>ตำบลแม่สะเรียง</t>
        </is>
      </c>
      <c r="D31" s="64" t="inlineStr">
        <is>
          <t>อำเภอแม่สะเรียง</t>
        </is>
      </c>
      <c r="E31" s="64" t="inlineStr">
        <is>
          <t>จังหวัดแม่ฮ่องสอน</t>
        </is>
      </c>
    </row>
    <row r="32">
      <c r="A32" s="34" t="n">
        <v>5</v>
      </c>
      <c r="B32" s="64" t="inlineStr">
        <is>
          <t>วัดบ้านใหม่</t>
        </is>
      </c>
      <c r="C32" s="64" t="inlineStr">
        <is>
          <t>ตำบลแม่คะตวน</t>
        </is>
      </c>
      <c r="D32" s="64" t="inlineStr">
        <is>
          <t>อำเภอสบเมย</t>
        </is>
      </c>
      <c r="E32" s="64" t="inlineStr">
        <is>
          <t>จังหวัดแม่ฮ่องสอน</t>
        </is>
      </c>
    </row>
    <row r="33">
      <c r="A33" s="34" t="n">
        <v>6</v>
      </c>
      <c r="B33" s="64" t="inlineStr">
        <is>
          <t>วัดผาผ่า</t>
        </is>
      </c>
      <c r="C33" s="64" t="inlineStr">
        <is>
          <t>ตำบลแม่คะตวน</t>
        </is>
      </c>
      <c r="D33" s="64" t="inlineStr">
        <is>
          <t>อำเภอสบเมย</t>
        </is>
      </c>
      <c r="E33" s="64" t="inlineStr">
        <is>
          <t>จังหวัดแม่ฮ่องสอน</t>
        </is>
      </c>
    </row>
    <row r="34">
      <c r="A34" s="34" t="n">
        <v>7</v>
      </c>
      <c r="B34" s="64" t="inlineStr">
        <is>
          <t>วัดจอมแจ้ง</t>
        </is>
      </c>
      <c r="C34" s="64" t="inlineStr">
        <is>
          <t>ตำบลแม่สะเรียง</t>
        </is>
      </c>
      <c r="D34" s="64" t="inlineStr">
        <is>
          <t>อำเภอแม่สะเรียง</t>
        </is>
      </c>
      <c r="E34" s="64" t="inlineStr">
        <is>
          <t>จังหวัดแม่ฮ่องสอน</t>
        </is>
      </c>
    </row>
    <row r="35">
      <c r="A35" s="34" t="n">
        <v>8</v>
      </c>
      <c r="B35" s="64" t="inlineStr">
        <is>
          <t>วัดแม่คะตวน</t>
        </is>
      </c>
      <c r="C35" s="64" t="inlineStr">
        <is>
          <t>ตำบลสบเมย</t>
        </is>
      </c>
      <c r="D35" s="64" t="inlineStr">
        <is>
          <t>อำเภอสบเมย</t>
        </is>
      </c>
      <c r="E35" s="64" t="inlineStr">
        <is>
          <t>จังหวัดแม่ฮ่องสอน</t>
        </is>
      </c>
    </row>
    <row r="36">
      <c r="A36" s="34" t="n">
        <v>9</v>
      </c>
      <c r="B36" s="66" t="inlineStr">
        <is>
          <t>วัดแสนทอง</t>
        </is>
      </c>
      <c r="C36" s="66" t="inlineStr">
        <is>
          <t>ตำบลแม่สะเรียง</t>
        </is>
      </c>
      <c r="D36" s="66" t="inlineStr">
        <is>
          <t>อำเภอแม่สะเรียง</t>
        </is>
      </c>
      <c r="E36" s="66" t="inlineStr">
        <is>
          <t>จังหวัดแม่ฮ่องสอน</t>
        </is>
      </c>
    </row>
    <row r="37">
      <c r="A37" s="34" t="n">
        <v>10</v>
      </c>
      <c r="B37" s="66" t="inlineStr">
        <is>
          <t>วัดพระธาตุศรีสบเงา</t>
        </is>
      </c>
      <c r="C37" s="66" t="inlineStr">
        <is>
          <t>ตำบลแม่สวด</t>
        </is>
      </c>
      <c r="D37" s="66" t="inlineStr">
        <is>
          <t>อำเภอสบเมย</t>
        </is>
      </c>
      <c r="E37" s="66" t="inlineStr">
        <is>
          <t>จังหวัดแม่ฮ่องสอน</t>
        </is>
      </c>
    </row>
    <row r="38">
      <c r="A38" s="34" t="n">
        <v>11</v>
      </c>
      <c r="B38" s="66" t="inlineStr">
        <is>
          <t>วัดแม่เกาะ</t>
        </is>
      </c>
      <c r="C38" s="66" t="inlineStr">
        <is>
          <t>ตำบลแม่คะตวน</t>
        </is>
      </c>
      <c r="D38" s="66" t="inlineStr">
        <is>
          <t>อำเภอสบเมย</t>
        </is>
      </c>
      <c r="E38" s="66" t="inlineStr">
        <is>
          <t>จังหวัดแม่ฮ่องสอน</t>
        </is>
      </c>
    </row>
    <row r="39">
      <c r="A39" s="34" t="n">
        <v>12</v>
      </c>
      <c r="B39" s="66" t="inlineStr">
        <is>
          <t>วัดบ้านไร่</t>
        </is>
      </c>
      <c r="C39" s="66" t="inlineStr">
        <is>
          <t>ตำบลแม่สะเรียง</t>
        </is>
      </c>
      <c r="D39" s="66" t="inlineStr">
        <is>
          <t>อำเภอแม่สะเรียง</t>
        </is>
      </c>
      <c r="E39" s="66" t="inlineStr">
        <is>
          <t>จังหวัดแม่ฮ่องสอน</t>
        </is>
      </c>
    </row>
    <row r="40">
      <c r="A40" s="34" t="n">
        <v>13</v>
      </c>
      <c r="B40" s="66" t="inlineStr">
        <is>
          <t>วัดบ้านแม่สวด</t>
        </is>
      </c>
      <c r="C40" s="66" t="inlineStr">
        <is>
          <t>ตำบลแม่สวด</t>
        </is>
      </c>
      <c r="D40" s="66" t="inlineStr">
        <is>
          <t>อำเภอสบเมย</t>
        </is>
      </c>
      <c r="E40" s="66" t="inlineStr">
        <is>
          <t>จังหวัดแม่ฮ่องสอน</t>
        </is>
      </c>
    </row>
    <row r="42">
      <c r="A42" s="92" t="inlineStr">
        <is>
          <t>สถานพยาบาลที่อยู่ในพื้นที่ศึกษาระยะ 1 กิโลเมตร</t>
        </is>
      </c>
      <c r="B42" s="89" t="n"/>
      <c r="C42" s="89" t="n"/>
      <c r="D42" s="89" t="n"/>
      <c r="E42" s="93" t="n"/>
    </row>
    <row r="43">
      <c r="A43" s="25" t="inlineStr">
        <is>
          <t>ลำดับที่</t>
        </is>
      </c>
      <c r="B43" s="65" t="inlineStr">
        <is>
          <t>ชื่อ</t>
        </is>
      </c>
      <c r="C43" s="43" t="inlineStr">
        <is>
          <t>ตำบล</t>
        </is>
      </c>
      <c r="D43" s="43" t="inlineStr">
        <is>
          <t>อำเภอ</t>
        </is>
      </c>
      <c r="E43" s="43" t="inlineStr">
        <is>
          <t>จังหวัด</t>
        </is>
      </c>
    </row>
    <row r="44">
      <c r="A44" s="34" t="n">
        <v>1</v>
      </c>
      <c r="B44" s="64" t="inlineStr">
        <is>
          <t>โรงพยาบาลแม่สะเรียง</t>
        </is>
      </c>
      <c r="C44" s="64" t="inlineStr">
        <is>
          <t>ตำบลแม่สะเรียง</t>
        </is>
      </c>
      <c r="D44" s="64" t="inlineStr">
        <is>
          <t>อำเภอแม่สะเรียง</t>
        </is>
      </c>
      <c r="E44" s="64" t="inlineStr">
        <is>
          <t>จังหวัดแม่ฮ่องสอน</t>
        </is>
      </c>
    </row>
    <row r="45">
      <c r="A45" s="34" t="n">
        <v>2</v>
      </c>
      <c r="B45" s="64" t="inlineStr">
        <is>
          <t>โรงพยาบาลสบเมย</t>
        </is>
      </c>
      <c r="C45" s="64" t="inlineStr">
        <is>
          <t>ตำบลแม่คะตวน</t>
        </is>
      </c>
      <c r="D45" s="64" t="inlineStr">
        <is>
          <t>อำเภอสบเมย</t>
        </is>
      </c>
      <c r="E45" s="64" t="inlineStr">
        <is>
          <t>จังหวัดแม่ฮ่องสอน</t>
        </is>
      </c>
    </row>
    <row r="46">
      <c r="A46" s="34" t="n">
        <v>3</v>
      </c>
      <c r="B46" s="64" t="inlineStr">
        <is>
          <t>โรงพยาบาลส่งเสริมสุขภาพตำบลบ้านผาผ่า ตำบลแม่คะตวน</t>
        </is>
      </c>
      <c r="C46" s="64" t="inlineStr">
        <is>
          <t>ตำบลแม่คะตวน</t>
        </is>
      </c>
      <c r="D46" s="64" t="inlineStr">
        <is>
          <t>อำเภอสบเมย</t>
        </is>
      </c>
      <c r="E46" s="64" t="inlineStr">
        <is>
          <t>จังหวัดแม่ฮ่องสอน</t>
        </is>
      </c>
    </row>
  </sheetData>
  <mergeCells count="3">
    <mergeCell ref="A1:E1"/>
    <mergeCell ref="A42:E42"/>
    <mergeCell ref="A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I17" sqref="I17"/>
    </sheetView>
  </sheetViews>
  <sheetFormatPr baseColWidth="8" defaultRowHeight="15"/>
  <cols>
    <col width="23.85546875" customWidth="1" min="1" max="1"/>
    <col width="21.85546875" bestFit="1" customWidth="1" min="2" max="2"/>
    <col width="11.5703125" customWidth="1" min="3" max="3"/>
    <col width="15.42578125" customWidth="1" min="4" max="4"/>
    <col width="9" customWidth="1" min="9" max="9"/>
  </cols>
  <sheetData>
    <row r="1" ht="21.75" customHeight="1" thickBot="1">
      <c r="A1" s="82" t="inlineStr">
        <is>
          <t>การชะล้างพังทลายของดิน (กรมพัฒนาที่ดิน ปี พ.ศ. 2563) ระยะ 1 กิโลเมตร</t>
        </is>
      </c>
      <c r="B1" s="94" t="n"/>
      <c r="C1" s="94" t="n"/>
      <c r="D1" s="94" t="n"/>
      <c r="E1" s="94" t="n"/>
    </row>
    <row r="2" ht="38.25" customHeight="1" thickBot="1">
      <c r="A2" s="16" t="inlineStr">
        <is>
          <t>ระดับความรุนแรง</t>
        </is>
      </c>
      <c r="B2" s="17" t="inlineStr">
        <is>
          <t>อัตราการสูญเสีย (ตัน/ไร่/ปี)</t>
        </is>
      </c>
      <c r="C2" s="18" t="inlineStr">
        <is>
          <t>ตารางกิโลเมตร</t>
        </is>
      </c>
      <c r="D2" s="18" t="inlineStr">
        <is>
          <t>ไร่</t>
        </is>
      </c>
      <c r="E2" s="18" t="inlineStr">
        <is>
          <t>ร้อยละ</t>
        </is>
      </c>
    </row>
    <row r="3" ht="19.5" customHeight="1" thickBot="1">
      <c r="A3" s="19" t="inlineStr">
        <is>
          <t>น้อย</t>
        </is>
      </c>
      <c r="B3" s="20" t="inlineStr">
        <is>
          <t>0 – 2</t>
        </is>
      </c>
      <c r="C3" s="21">
        <f>SUM(D3*0.0016)</f>
        <v/>
      </c>
      <c r="D3" s="21" t="n">
        <v>31312.56</v>
      </c>
      <c r="E3" s="21">
        <f>D3*100/$D$8</f>
        <v/>
      </c>
      <c r="F3" s="24" t="n"/>
    </row>
    <row r="4" ht="19.5" customHeight="1" thickBot="1">
      <c r="A4" s="19" t="inlineStr">
        <is>
          <t>ปานกลาง</t>
        </is>
      </c>
      <c r="B4" s="20" t="inlineStr">
        <is>
          <t>2 – 5</t>
        </is>
      </c>
      <c r="C4" s="21">
        <f>SUM(D4*0.0016)</f>
        <v/>
      </c>
      <c r="D4" s="21" t="n">
        <v>11735.76</v>
      </c>
      <c r="E4" s="21">
        <f>D4*100/$D$8</f>
        <v/>
      </c>
      <c r="F4" s="24" t="n"/>
    </row>
    <row r="5" ht="19.5" customHeight="1" thickBot="1">
      <c r="A5" s="19" t="inlineStr">
        <is>
          <t>รุนแรง</t>
        </is>
      </c>
      <c r="B5" s="20" t="inlineStr">
        <is>
          <t>5 – 15</t>
        </is>
      </c>
      <c r="C5" s="21">
        <f>SUM(D5*0.0016)</f>
        <v/>
      </c>
      <c r="D5" s="21" t="n">
        <v>1228.187</v>
      </c>
      <c r="E5" s="21">
        <f>D5*100/$D$8</f>
        <v/>
      </c>
      <c r="F5" s="24" t="n"/>
    </row>
    <row r="6" ht="19.5" customHeight="1" thickBot="1">
      <c r="A6" s="19" t="inlineStr">
        <is>
          <t>รุนแรงมาก</t>
        </is>
      </c>
      <c r="B6" s="20" t="inlineStr">
        <is>
          <t xml:space="preserve">15 - 20 </t>
        </is>
      </c>
      <c r="C6" s="21">
        <f>SUM(D6*0.0016)</f>
        <v/>
      </c>
      <c r="D6" s="21" t="n">
        <v>373.2768</v>
      </c>
      <c r="E6" s="21">
        <f>D6*100/$D$8</f>
        <v/>
      </c>
      <c r="F6" s="24" t="n"/>
    </row>
    <row r="7" ht="19.5" customHeight="1" thickBot="1">
      <c r="A7" s="19" t="inlineStr">
        <is>
          <t>รุนแรงมากที่สุด</t>
        </is>
      </c>
      <c r="B7" s="20" t="inlineStr">
        <is>
          <t xml:space="preserve">&gt; 20 </t>
        </is>
      </c>
      <c r="C7" s="21">
        <f>SUM(D7*0.0016)</f>
        <v/>
      </c>
      <c r="D7" s="21" t="n">
        <v>3253.393</v>
      </c>
      <c r="E7" s="21">
        <f>D7*100/$D$8</f>
        <v/>
      </c>
      <c r="F7" s="24" t="n"/>
    </row>
    <row r="8" ht="18.75" customHeight="1">
      <c r="A8" s="83" t="inlineStr">
        <is>
          <t>รวม</t>
        </is>
      </c>
      <c r="B8" s="90" t="n"/>
      <c r="C8" s="30">
        <f>SUM(C3:C7)</f>
        <v/>
      </c>
      <c r="D8" s="30">
        <f>SUM(D3:D7)</f>
        <v/>
      </c>
      <c r="E8" s="30">
        <f>SUM(E3:E7)</f>
        <v/>
      </c>
    </row>
    <row r="9">
      <c r="C9" s="4" t="n"/>
      <c r="D9" s="4" t="n"/>
    </row>
    <row r="13" ht="21.75" customHeight="1" thickBot="1">
      <c r="A13" s="82" t="inlineStr">
        <is>
          <t>การชะล้างพังทลายของดิน (กรมพัฒนาที่ดิน ปี พ.ศ. 2563) ในเขตทาง</t>
        </is>
      </c>
      <c r="B13" s="94" t="n"/>
      <c r="C13" s="94" t="n"/>
      <c r="D13" s="94" t="n"/>
      <c r="E13" s="94" t="n"/>
    </row>
    <row r="14" ht="38.25" customHeight="1" thickBot="1">
      <c r="A14" s="16" t="inlineStr">
        <is>
          <t>ระดับความรุนแรง</t>
        </is>
      </c>
      <c r="B14" s="17" t="inlineStr">
        <is>
          <t>อัตราการสูญเสีย (ตัน/ไร่/ปี)</t>
        </is>
      </c>
      <c r="C14" s="18" t="inlineStr">
        <is>
          <t>ตารางกิโลเมตร</t>
        </is>
      </c>
      <c r="D14" s="18" t="inlineStr">
        <is>
          <t>ไร่</t>
        </is>
      </c>
      <c r="E14" s="18" t="inlineStr">
        <is>
          <t>ร้อยละ</t>
        </is>
      </c>
    </row>
    <row r="15" ht="19.5" customHeight="1" thickBot="1">
      <c r="A15" s="19" t="inlineStr">
        <is>
          <t>น้อย</t>
        </is>
      </c>
      <c r="B15" s="20" t="inlineStr">
        <is>
          <t>0 – 2</t>
        </is>
      </c>
      <c r="C15" s="21">
        <f>SUM(D15*0.0016)</f>
        <v/>
      </c>
      <c r="D15" s="21" t="n">
        <v>956.4305000000001</v>
      </c>
      <c r="E15" s="21">
        <f>D15*100/$D$20</f>
        <v/>
      </c>
    </row>
    <row r="16" ht="19.5" customHeight="1" thickBot="1">
      <c r="A16" s="19" t="inlineStr">
        <is>
          <t>ปานกลาง</t>
        </is>
      </c>
      <c r="B16" s="20" t="inlineStr">
        <is>
          <t>2 – 5</t>
        </is>
      </c>
      <c r="C16" s="21">
        <f>SUM(D16*0.0016)</f>
        <v/>
      </c>
      <c r="D16" s="21" t="n">
        <v>360.2793</v>
      </c>
      <c r="E16" s="21">
        <f>D16*100/$D$20</f>
        <v/>
      </c>
    </row>
    <row r="17" ht="19.5" customHeight="1" thickBot="1">
      <c r="A17" s="19" t="inlineStr">
        <is>
          <t>รุนแรง</t>
        </is>
      </c>
      <c r="B17" s="20" t="inlineStr">
        <is>
          <t>5 – 15</t>
        </is>
      </c>
      <c r="C17" s="21">
        <f>SUM(D17*0.0016)</f>
        <v/>
      </c>
      <c r="D17" s="21" t="n">
        <v>39.59235</v>
      </c>
      <c r="E17" s="21">
        <f>D17*100/$D$20</f>
        <v/>
      </c>
    </row>
    <row r="18" ht="19.5" customHeight="1" thickBot="1">
      <c r="A18" s="19" t="inlineStr">
        <is>
          <t>รุนแรงมาก</t>
        </is>
      </c>
      <c r="B18" s="20" t="inlineStr">
        <is>
          <t>15 - 20</t>
        </is>
      </c>
      <c r="C18" s="21">
        <f>SUM(D18*0.0016)</f>
        <v/>
      </c>
      <c r="D18" s="21" t="n">
        <v>17.41481</v>
      </c>
      <c r="E18" s="21">
        <f>D18*100/$D$20</f>
        <v/>
      </c>
    </row>
    <row r="19" ht="19.5" customHeight="1" thickBot="1">
      <c r="A19" s="27" t="inlineStr">
        <is>
          <t>รุนแรงมากที่สุด</t>
        </is>
      </c>
      <c r="B19" s="28" t="inlineStr">
        <is>
          <t xml:space="preserve">&gt; 20 </t>
        </is>
      </c>
      <c r="C19" s="21">
        <f>SUM(D19*0.0016)</f>
        <v/>
      </c>
      <c r="D19" s="29" t="n">
        <v>60.50233</v>
      </c>
      <c r="E19" s="21">
        <f>D19*100/$D$20</f>
        <v/>
      </c>
    </row>
    <row r="20" ht="18.75" customHeight="1">
      <c r="A20" s="83" t="inlineStr">
        <is>
          <t>รวม</t>
        </is>
      </c>
      <c r="B20" s="90" t="n"/>
      <c r="C20" s="30">
        <f>SUM(C15:C19)</f>
        <v/>
      </c>
      <c r="D20" s="30">
        <f>SUM(D15:D19)</f>
        <v/>
      </c>
      <c r="E20" s="30">
        <f>SUM(E15:E19)</f>
        <v/>
      </c>
    </row>
  </sheetData>
  <mergeCells count="4">
    <mergeCell ref="A8:B8"/>
    <mergeCell ref="A1:E1"/>
    <mergeCell ref="A20:B20"/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9" sqref="E9"/>
    </sheetView>
  </sheetViews>
  <sheetFormatPr baseColWidth="8" defaultRowHeight="15"/>
  <cols>
    <col width="23.7109375" bestFit="1" customWidth="1" min="1" max="1"/>
    <col width="14" bestFit="1" customWidth="1" min="2" max="2"/>
    <col width="15.5703125" customWidth="1" min="3" max="3"/>
    <col width="10.85546875" customWidth="1" min="6" max="7"/>
  </cols>
  <sheetData>
    <row r="1">
      <c r="A1" s="35" t="inlineStr">
        <is>
          <t>พื้นที่คงสภาพป่าในรัศมี 1 กม.</t>
        </is>
      </c>
      <c r="B1" s="35" t="inlineStr">
        <is>
          <t>ตารางกิโลเมตร</t>
        </is>
      </c>
      <c r="C1" s="35" t="inlineStr">
        <is>
          <t>ไร่</t>
        </is>
      </c>
    </row>
    <row r="2">
      <c r="A2" s="52" t="inlineStr">
        <is>
          <t>พื้นที่คงสภาพป่า</t>
        </is>
      </c>
      <c r="B2" s="53">
        <f>SUM(C2*0.0016)</f>
        <v/>
      </c>
      <c r="C2" s="53" t="n">
        <v>23287.48</v>
      </c>
    </row>
    <row r="3">
      <c r="A3" s="52" t="inlineStr">
        <is>
          <t>พื้นที่ที่ไม่มีสภาพป่า</t>
        </is>
      </c>
      <c r="B3" s="53">
        <f>SUM(C3*0.0016)</f>
        <v/>
      </c>
      <c r="C3" s="53" t="n">
        <v>25440.13</v>
      </c>
    </row>
    <row r="4">
      <c r="A4" s="35" t="inlineStr">
        <is>
          <t>รวม</t>
        </is>
      </c>
      <c r="B4" s="54">
        <f>SUM(B2:B3)</f>
        <v/>
      </c>
      <c r="C4" s="54">
        <f>SUM(C2:C3)</f>
        <v/>
      </c>
    </row>
    <row r="8">
      <c r="A8" s="35" t="inlineStr">
        <is>
          <t>พื้นที่คงสภาพป่าในเขตทาง</t>
        </is>
      </c>
      <c r="B8" s="35" t="inlineStr">
        <is>
          <t>ตารางกิโลเมตร</t>
        </is>
      </c>
      <c r="C8" s="35" t="inlineStr">
        <is>
          <t>ไร่</t>
        </is>
      </c>
    </row>
    <row r="9">
      <c r="A9" s="52" t="inlineStr">
        <is>
          <t>พื้นที่คงสภาพป่า</t>
        </is>
      </c>
      <c r="B9" s="53">
        <f>SUM(C9*0.0016)</f>
        <v/>
      </c>
      <c r="C9" s="53" t="n">
        <v>652.6584</v>
      </c>
    </row>
    <row r="10">
      <c r="A10" s="52" t="inlineStr">
        <is>
          <t>พื้นที่ที่ไม่มีสภาพป่า</t>
        </is>
      </c>
      <c r="B10" s="53">
        <f>SUM(C10*0.0016)</f>
        <v/>
      </c>
      <c r="C10" s="53" t="n">
        <v>784.1917</v>
      </c>
    </row>
    <row r="11">
      <c r="A11" s="35" t="inlineStr">
        <is>
          <t>รวม</t>
        </is>
      </c>
      <c r="B11" s="55">
        <f>SUM(B9:B10)</f>
        <v/>
      </c>
      <c r="C11" s="54">
        <f>SUM(C9:C10)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topLeftCell="A13" workbookViewId="0">
      <selection activeCell="E5" sqref="E5:F5"/>
    </sheetView>
  </sheetViews>
  <sheetFormatPr baseColWidth="8" defaultRowHeight="15"/>
  <cols>
    <col width="15.85546875" customWidth="1" min="1" max="1"/>
    <col width="15.28515625" customWidth="1" min="2" max="2"/>
  </cols>
  <sheetData>
    <row r="1">
      <c r="A1" s="84" t="inlineStr">
        <is>
          <t>จุดตัดแหล่งน้ำ</t>
        </is>
      </c>
      <c r="B1" s="90" t="n"/>
    </row>
    <row r="2">
      <c r="A2" s="33" t="inlineStr">
        <is>
          <t>ลำน้ำ</t>
        </is>
      </c>
      <c r="B2" s="33" t="inlineStr">
        <is>
          <t>กม.</t>
        </is>
      </c>
    </row>
    <row r="3">
      <c r="A3" s="69" t="inlineStr">
        <is>
          <t>แม่น้ำเงา</t>
        </is>
      </c>
      <c r="B3" s="59" t="inlineStr">
        <is>
          <t>190+348</t>
        </is>
      </c>
    </row>
    <row r="4">
      <c r="A4" s="69" t="inlineStr">
        <is>
          <t>ห้วยเขียด</t>
        </is>
      </c>
      <c r="B4" s="59" t="inlineStr">
        <is>
          <t>190+762</t>
        </is>
      </c>
    </row>
    <row r="5">
      <c r="A5" s="69" t="inlineStr">
        <is>
          <t>ห้วยม่วง</t>
        </is>
      </c>
      <c r="B5" s="59" t="inlineStr">
        <is>
          <t>191+939</t>
        </is>
      </c>
    </row>
    <row r="6">
      <c r="A6" s="69" t="inlineStr">
        <is>
          <t>แหล่งน้ำไม่ทราบชื่อ</t>
        </is>
      </c>
      <c r="B6" s="59" t="inlineStr">
        <is>
          <t>192+654</t>
        </is>
      </c>
    </row>
    <row r="7">
      <c r="A7" s="69" t="inlineStr">
        <is>
          <t>ห้วยมะกอก</t>
        </is>
      </c>
      <c r="B7" s="59" t="inlineStr">
        <is>
          <t>193+629</t>
        </is>
      </c>
    </row>
    <row r="8">
      <c r="A8" s="69" t="inlineStr">
        <is>
          <t>แหล่งน้ำไม่ทราบชื่อ</t>
        </is>
      </c>
      <c r="B8" s="59" t="inlineStr">
        <is>
          <t>194+809</t>
        </is>
      </c>
    </row>
    <row r="9">
      <c r="A9" s="69" t="inlineStr">
        <is>
          <t>แหล่งน้ำไม่ทราบชื่อ</t>
        </is>
      </c>
      <c r="B9" s="59" t="inlineStr">
        <is>
          <t>196+058</t>
        </is>
      </c>
    </row>
    <row r="10">
      <c r="A10" s="69" t="inlineStr">
        <is>
          <t>แหล่งน้ำไม่ทราบชื่อ</t>
        </is>
      </c>
      <c r="B10" s="59" t="inlineStr">
        <is>
          <t>197+089</t>
        </is>
      </c>
    </row>
    <row r="11">
      <c r="A11" s="69" t="inlineStr">
        <is>
          <t>แม่น้ำลิด</t>
        </is>
      </c>
      <c r="B11" s="59" t="inlineStr">
        <is>
          <t>199+190</t>
        </is>
      </c>
    </row>
    <row r="12">
      <c r="A12" s="69" t="inlineStr">
        <is>
          <t>ห้วยแม่สวด</t>
        </is>
      </c>
      <c r="B12" s="59" t="inlineStr">
        <is>
          <t>202+132</t>
        </is>
      </c>
    </row>
    <row r="13">
      <c r="A13" s="69" t="inlineStr">
        <is>
          <t>แหล่งน้ำไม่ทราบชื่อ</t>
        </is>
      </c>
      <c r="B13" s="59" t="inlineStr">
        <is>
          <t>203+013</t>
        </is>
      </c>
    </row>
    <row r="14">
      <c r="A14" s="69" t="inlineStr">
        <is>
          <t>แหล่งน้ำไม่ทราบชื่อ</t>
        </is>
      </c>
      <c r="B14" s="59" t="inlineStr">
        <is>
          <t>204+045</t>
        </is>
      </c>
    </row>
    <row r="15">
      <c r="A15" s="69" t="inlineStr">
        <is>
          <t>ห้วยผากาน</t>
        </is>
      </c>
      <c r="B15" s="59" t="inlineStr">
        <is>
          <t>205+115</t>
        </is>
      </c>
    </row>
    <row r="16">
      <c r="A16" s="69" t="inlineStr">
        <is>
          <t>แหล่งน้ำไม่ทราบชื่อ</t>
        </is>
      </c>
      <c r="B16" s="59" t="inlineStr">
        <is>
          <t>206+364</t>
        </is>
      </c>
    </row>
    <row r="17">
      <c r="A17" s="69" t="inlineStr">
        <is>
          <t>ห้วยอีนาย</t>
        </is>
      </c>
      <c r="B17" s="59" t="inlineStr">
        <is>
          <t>206+760</t>
        </is>
      </c>
    </row>
    <row r="18">
      <c r="A18" s="69" t="inlineStr">
        <is>
          <t>ห้วยแม่มูด</t>
        </is>
      </c>
      <c r="B18" s="59" t="inlineStr">
        <is>
          <t>207+356</t>
        </is>
      </c>
    </row>
    <row r="19">
      <c r="A19" s="69" t="inlineStr">
        <is>
          <t>แหล่งน้ำไม่ทราบชื่อ</t>
        </is>
      </c>
      <c r="B19" s="59" t="inlineStr">
        <is>
          <t>208+160</t>
        </is>
      </c>
    </row>
    <row r="20">
      <c r="A20" s="69" t="inlineStr">
        <is>
          <t>ห้วยแม่เกาะ</t>
        </is>
      </c>
      <c r="B20" s="59" t="inlineStr">
        <is>
          <t>208+831</t>
        </is>
      </c>
    </row>
    <row r="21">
      <c r="A21" s="69" t="inlineStr">
        <is>
          <t>แหล่งน้ำไม่ทราบชื่อ</t>
        </is>
      </c>
      <c r="B21" s="59" t="inlineStr">
        <is>
          <t>210+140</t>
        </is>
      </c>
    </row>
    <row r="22">
      <c r="A22" s="69" t="inlineStr">
        <is>
          <t>แหล่งน้ำไม่ทราบชื่อ</t>
        </is>
      </c>
      <c r="B22" s="59" t="inlineStr">
        <is>
          <t>210+864</t>
        </is>
      </c>
    </row>
    <row r="23">
      <c r="A23" s="69" t="inlineStr">
        <is>
          <t>แหล่งน้ำไม่ทราบชื่อ</t>
        </is>
      </c>
      <c r="B23" s="59" t="inlineStr">
        <is>
          <t>212+041</t>
        </is>
      </c>
    </row>
    <row r="24">
      <c r="A24" s="69" t="inlineStr">
        <is>
          <t>ห้วยแม่ปาน</t>
        </is>
      </c>
      <c r="B24" s="59" t="inlineStr">
        <is>
          <t>213+322</t>
        </is>
      </c>
    </row>
    <row r="25">
      <c r="A25" s="69" t="inlineStr">
        <is>
          <t>แหล่งน้ำไม่ทราบชื่อ</t>
        </is>
      </c>
      <c r="B25" s="59" t="inlineStr">
        <is>
          <t>215+334</t>
        </is>
      </c>
    </row>
    <row r="26">
      <c r="A26" s="69" t="inlineStr">
        <is>
          <t>แหล่งน้ำไม่ทราบชื่อ</t>
        </is>
      </c>
      <c r="B26" s="59" t="inlineStr">
        <is>
          <t>216+403</t>
        </is>
      </c>
    </row>
    <row r="27">
      <c r="A27" s="69" t="inlineStr">
        <is>
          <t>แหล่งน้ำไม่ทราบชื่อ</t>
        </is>
      </c>
      <c r="B27" s="59" t="inlineStr">
        <is>
          <t>216+943</t>
        </is>
      </c>
    </row>
    <row r="28">
      <c r="A28" s="69" t="inlineStr">
        <is>
          <t>ห้วยต้นปิม</t>
        </is>
      </c>
      <c r="B28" s="59" t="inlineStr">
        <is>
          <t>217+473</t>
        </is>
      </c>
    </row>
    <row r="29">
      <c r="A29" s="69" t="inlineStr">
        <is>
          <t>ห้วยหินลับ</t>
        </is>
      </c>
      <c r="B29" s="59" t="inlineStr">
        <is>
          <t>218+110</t>
        </is>
      </c>
    </row>
    <row r="30">
      <c r="A30" s="69" t="inlineStr">
        <is>
          <t>ห้วยลึก</t>
        </is>
      </c>
      <c r="B30" s="59" t="inlineStr">
        <is>
          <t>218+765</t>
        </is>
      </c>
    </row>
    <row r="31">
      <c r="A31" s="69" t="inlineStr">
        <is>
          <t>แหล่งน้ำไม่ทราบชื่อ</t>
        </is>
      </c>
      <c r="B31" s="52" t="inlineStr">
        <is>
          <t>219+530</t>
        </is>
      </c>
    </row>
    <row r="32">
      <c r="A32" s="69" t="inlineStr">
        <is>
          <t>แหล่งน้ำไม่ทราบชื่อ</t>
        </is>
      </c>
      <c r="B32" s="59" t="inlineStr">
        <is>
          <t>220+793</t>
        </is>
      </c>
    </row>
    <row r="33">
      <c r="A33" s="70" t="inlineStr">
        <is>
          <t>ห้วยแม่ละ</t>
        </is>
      </c>
      <c r="B33" s="59" t="inlineStr">
        <is>
          <t>221+568</t>
        </is>
      </c>
    </row>
    <row r="34">
      <c r="A34" s="70" t="inlineStr">
        <is>
          <t>ห้วยลึก</t>
        </is>
      </c>
      <c r="B34" s="59" t="inlineStr">
        <is>
          <t>222+764</t>
        </is>
      </c>
    </row>
    <row r="35">
      <c r="A35" s="69" t="inlineStr">
        <is>
          <t>แหล่งน้ำไม่ทราบชื่อ</t>
        </is>
      </c>
      <c r="B35" s="59" t="inlineStr">
        <is>
          <t>223+301</t>
        </is>
      </c>
    </row>
    <row r="36">
      <c r="A36" s="69" t="inlineStr">
        <is>
          <t>แหล่งน้ำไม่ทราบชื่อ</t>
        </is>
      </c>
      <c r="B36" s="59" t="inlineStr">
        <is>
          <t>224+301</t>
        </is>
      </c>
    </row>
    <row r="37">
      <c r="A37" s="69" t="inlineStr">
        <is>
          <t>แหล่งน้ำไม่ทราบชื่อ</t>
        </is>
      </c>
      <c r="B37" s="59" t="inlineStr">
        <is>
          <t>225+310</t>
        </is>
      </c>
    </row>
    <row r="38">
      <c r="A38" s="70" t="inlineStr">
        <is>
          <t>ห้วยอีตอง</t>
        </is>
      </c>
      <c r="B38" s="59" t="inlineStr">
        <is>
          <t>225+938</t>
        </is>
      </c>
    </row>
    <row r="39">
      <c r="A39" s="70" t="inlineStr">
        <is>
          <t>ห้วยปุ๊</t>
        </is>
      </c>
      <c r="B39" s="59" t="inlineStr">
        <is>
          <t>226+518</t>
        </is>
      </c>
    </row>
    <row r="40">
      <c r="A40" s="70" t="inlineStr">
        <is>
          <t>ห้วยโปง</t>
        </is>
      </c>
      <c r="B40" s="59" t="inlineStr">
        <is>
          <t>227+022</t>
        </is>
      </c>
    </row>
    <row r="41">
      <c r="A41" s="70" t="inlineStr">
        <is>
          <t>ห้วยหินเหล็ก</t>
        </is>
      </c>
      <c r="B41" s="59" t="inlineStr">
        <is>
          <t>227+807</t>
        </is>
      </c>
    </row>
    <row r="42">
      <c r="A42" s="69" t="inlineStr">
        <is>
          <t>แหล่งน้ำไม่ทราบชื่อ</t>
        </is>
      </c>
      <c r="B42" s="59" t="inlineStr">
        <is>
          <t>228+337</t>
        </is>
      </c>
    </row>
    <row r="43">
      <c r="A43" s="70" t="inlineStr">
        <is>
          <t>น้ำแม่สะเรียง</t>
        </is>
      </c>
      <c r="B43" s="59" t="inlineStr">
        <is>
          <t>230+000</t>
        </is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E1" sqref="E1"/>
    </sheetView>
  </sheetViews>
  <sheetFormatPr baseColWidth="8" defaultRowHeight="15"/>
  <cols>
    <col width="10" bestFit="1" customWidth="1" min="1" max="1"/>
    <col width="13.140625" bestFit="1" customWidth="1" min="3" max="3"/>
  </cols>
  <sheetData>
    <row r="1" ht="15.75" customHeight="1">
      <c r="A1" s="12" t="inlineStr">
        <is>
          <t>ความลาดชัน</t>
        </is>
      </c>
      <c r="B1" s="22" t="n"/>
      <c r="C1" s="23" t="inlineStr">
        <is>
          <t>ความสูงภูมิประเทศ</t>
        </is>
      </c>
    </row>
    <row r="2">
      <c r="A2" s="48" t="n">
        <v>0.045</v>
      </c>
      <c r="C2" s="3" t="inlineStr">
        <is>
          <t>146 - 432 เมตร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G10" sqref="G10"/>
    </sheetView>
  </sheetViews>
  <sheetFormatPr baseColWidth="8" defaultRowHeight="15"/>
  <cols>
    <col width="39.140625" customWidth="1" min="2" max="2"/>
    <col width="16.42578125" customWidth="1" min="3" max="3"/>
    <col width="17.85546875" bestFit="1" customWidth="1" min="4" max="4"/>
    <col width="12.5703125" bestFit="1" customWidth="1" min="5" max="5"/>
    <col width="11.42578125" bestFit="1" customWidth="1" min="6" max="6"/>
  </cols>
  <sheetData>
    <row r="1">
      <c r="A1" s="25" t="inlineStr">
        <is>
          <t>กลุ่มชุดดิน</t>
        </is>
      </c>
      <c r="B1" s="25" t="inlineStr">
        <is>
          <t>ชุดดิน</t>
        </is>
      </c>
      <c r="C1" s="46" t="inlineStr">
        <is>
          <t>ตารางกิโลเมตร</t>
        </is>
      </c>
      <c r="D1" s="46" t="inlineStr">
        <is>
          <t>ไร่</t>
        </is>
      </c>
      <c r="E1" s="26" t="inlineStr">
        <is>
          <t>ร้อยละ</t>
        </is>
      </c>
    </row>
    <row r="2">
      <c r="A2" s="36" t="inlineStr">
        <is>
          <t>18</t>
        </is>
      </c>
      <c r="B2" s="34" t="inlineStr">
        <is>
          <t>แม่ขาน</t>
        </is>
      </c>
      <c r="C2" s="40">
        <f>SUM(D2*0.0016)</f>
        <v/>
      </c>
      <c r="D2" s="40" t="n">
        <v>806.3345947265625</v>
      </c>
      <c r="E2" s="40">
        <f>D2*100/$D$27</f>
        <v/>
      </c>
      <c r="G2" s="49" t="n"/>
    </row>
    <row r="3">
      <c r="A3" s="36" t="inlineStr">
        <is>
          <t>33</t>
        </is>
      </c>
      <c r="B3" s="34" t="inlineStr">
        <is>
          <t>กำแพงเพชร</t>
        </is>
      </c>
      <c r="C3" s="40">
        <f>SUM(D3*0.0016)</f>
        <v/>
      </c>
      <c r="D3" s="40" t="n">
        <v>3529.025390625</v>
      </c>
      <c r="E3" s="40">
        <f>D3*100/$D$27</f>
        <v/>
      </c>
      <c r="G3" s="49" t="n"/>
    </row>
    <row r="4">
      <c r="A4" s="36" t="inlineStr">
        <is>
          <t>38</t>
        </is>
      </c>
      <c r="B4" s="34" t="inlineStr">
        <is>
          <t>เชียงใหม่</t>
        </is>
      </c>
      <c r="C4" s="40">
        <f>SUM(D4*0.0016)</f>
        <v/>
      </c>
      <c r="D4" s="40" t="n">
        <v>4195.751953125</v>
      </c>
      <c r="E4" s="40">
        <f>D4*100/$D$27</f>
        <v/>
      </c>
    </row>
    <row r="5">
      <c r="A5" s="36" t="inlineStr">
        <is>
          <t>40</t>
        </is>
      </c>
      <c r="B5" s="34" t="inlineStr">
        <is>
          <t>สันป่าตอง</t>
        </is>
      </c>
      <c r="C5" s="40">
        <f>SUM(D5*0.0016)</f>
        <v/>
      </c>
      <c r="D5" s="40" t="n">
        <v>2174.993408203125</v>
      </c>
      <c r="E5" s="40">
        <f>D5*100/$D$27</f>
        <v/>
      </c>
    </row>
    <row r="6">
      <c r="A6" s="36" t="inlineStr">
        <is>
          <t>47</t>
        </is>
      </c>
      <c r="B6" s="34" t="inlineStr">
        <is>
          <t>ลี้</t>
        </is>
      </c>
      <c r="C6" s="40">
        <f>SUM(D6*0.0016)</f>
        <v/>
      </c>
      <c r="D6" s="40" t="n">
        <v>2294.270263671875</v>
      </c>
      <c r="E6" s="40">
        <f>D6*100/$D$27</f>
        <v/>
      </c>
    </row>
    <row r="7">
      <c r="A7" s="36" t="inlineStr">
        <is>
          <t>48</t>
        </is>
      </c>
      <c r="B7" s="34" t="inlineStr">
        <is>
          <t>แม่ริม</t>
        </is>
      </c>
      <c r="C7" s="40">
        <f>SUM(D7*0.0016)</f>
        <v/>
      </c>
      <c r="D7" s="40" t="n">
        <v>1726.1875</v>
      </c>
      <c r="E7" s="40">
        <f>D7*100/$D$27</f>
        <v/>
      </c>
    </row>
    <row r="8">
      <c r="A8" s="36" t="inlineStr">
        <is>
          <t>55</t>
        </is>
      </c>
      <c r="B8" s="34" t="inlineStr">
        <is>
          <t>วังสะพุง</t>
        </is>
      </c>
      <c r="C8" s="40">
        <f>SUM(D8*0.0016)</f>
        <v/>
      </c>
      <c r="D8" s="40" t="n">
        <v>3810.0078125</v>
      </c>
      <c r="E8" s="40">
        <f>D8*100/$D$27</f>
        <v/>
      </c>
    </row>
    <row r="9">
      <c r="A9" s="36" t="inlineStr">
        <is>
          <t>59</t>
        </is>
      </c>
      <c r="B9" s="34" t="inlineStr">
        <is>
          <t>ตะกอนน้ำพาเชิงซ้อน</t>
        </is>
      </c>
      <c r="C9" s="40">
        <f>SUM(D9*0.0016)</f>
        <v/>
      </c>
      <c r="D9" s="40" t="n">
        <v>703.4036865234375</v>
      </c>
      <c r="E9" s="40">
        <f>D9*100/$D$27</f>
        <v/>
      </c>
    </row>
    <row r="10">
      <c r="A10" s="36" t="inlineStr">
        <is>
          <t>62</t>
        </is>
      </c>
      <c r="B10" s="34" t="inlineStr">
        <is>
          <t>พื้นที่ลาดชันเชิงซ้อน</t>
        </is>
      </c>
      <c r="C10" s="40">
        <f>SUM(D10*0.0016)</f>
        <v/>
      </c>
      <c r="D10" s="40" t="n">
        <v>26113.65234375</v>
      </c>
      <c r="E10" s="40">
        <f>D10*100/$D$27</f>
        <v/>
      </c>
    </row>
    <row r="11">
      <c r="A11" s="36" t="inlineStr">
        <is>
          <t>W</t>
        </is>
      </c>
      <c r="B11" s="34" t="inlineStr">
        <is>
          <t>พื้นที่น้ำ</t>
        </is>
      </c>
      <c r="C11" s="40">
        <f>SUM(D11*0.0016)</f>
        <v/>
      </c>
      <c r="D11" s="40" t="n">
        <v>2549.430419921875</v>
      </c>
      <c r="E11" s="40">
        <f>D11*100/$D$27</f>
        <v/>
      </c>
    </row>
    <row r="12">
      <c r="A12" s="36" t="n"/>
      <c r="B12" s="34" t="n"/>
      <c r="C12" s="40" t="n"/>
      <c r="D12" s="40" t="n"/>
      <c r="E12" s="40" t="n"/>
    </row>
    <row r="13">
      <c r="A13" s="36" t="n"/>
      <c r="B13" s="34" t="n"/>
      <c r="C13" s="40" t="n"/>
      <c r="D13" s="40" t="n"/>
      <c r="E13" s="40" t="n"/>
    </row>
    <row r="14">
      <c r="A14" s="36" t="n"/>
      <c r="B14" s="34" t="n"/>
      <c r="C14" s="40" t="n"/>
      <c r="D14" s="40" t="n"/>
      <c r="E14" s="40" t="n"/>
    </row>
    <row r="15">
      <c r="A15" s="36" t="n"/>
      <c r="B15" s="34" t="n"/>
      <c r="C15" s="40" t="n"/>
      <c r="D15" s="40" t="n"/>
      <c r="E15" s="40" t="n"/>
    </row>
    <row r="16">
      <c r="A16" s="36" t="n"/>
      <c r="B16" s="34" t="n"/>
      <c r="C16" s="40" t="n"/>
      <c r="D16" s="40" t="n"/>
      <c r="E16" s="40" t="n"/>
    </row>
    <row r="17">
      <c r="A17" s="36" t="n"/>
      <c r="B17" s="34" t="n"/>
      <c r="C17" s="40" t="n"/>
      <c r="D17" s="40" t="n"/>
      <c r="E17" s="40" t="n"/>
    </row>
    <row r="18">
      <c r="A18" s="36" t="n"/>
      <c r="B18" s="34" t="n"/>
      <c r="C18" s="40" t="n"/>
      <c r="D18" s="40" t="n"/>
      <c r="E18" s="40" t="n"/>
    </row>
    <row r="19">
      <c r="A19" s="36" t="n"/>
      <c r="B19" s="34" t="n"/>
      <c r="C19" s="40" t="n"/>
      <c r="D19" s="40" t="n"/>
      <c r="E19" s="40" t="n"/>
    </row>
    <row r="20">
      <c r="A20" s="36" t="n"/>
      <c r="B20" s="34" t="n"/>
      <c r="C20" s="40" t="n"/>
      <c r="D20" s="40" t="n"/>
      <c r="E20" s="40" t="n"/>
    </row>
    <row r="21">
      <c r="A21" s="36" t="n"/>
      <c r="B21" s="34" t="n"/>
      <c r="C21" s="40" t="n"/>
      <c r="D21" s="40" t="n"/>
      <c r="E21" s="40" t="n"/>
    </row>
    <row r="22">
      <c r="A22" s="36" t="n"/>
      <c r="B22" s="34" t="n"/>
      <c r="C22" s="40" t="n"/>
      <c r="D22" s="40" t="n"/>
      <c r="E22" s="40" t="n"/>
    </row>
    <row r="23">
      <c r="A23" s="36" t="n"/>
      <c r="B23" s="34" t="n"/>
      <c r="C23" s="40" t="n"/>
      <c r="D23" s="40" t="n"/>
      <c r="E23" s="40" t="n"/>
    </row>
    <row r="24">
      <c r="A24" s="36" t="n"/>
      <c r="B24" s="34" t="n"/>
      <c r="C24" s="40" t="n"/>
      <c r="D24" s="40" t="n"/>
      <c r="E24" s="40" t="n"/>
    </row>
    <row r="25">
      <c r="A25" s="36" t="n"/>
      <c r="B25" s="34" t="n"/>
      <c r="C25" s="40" t="n"/>
      <c r="D25" s="40" t="n"/>
      <c r="E25" s="40" t="n"/>
    </row>
    <row r="26">
      <c r="A26" s="36" t="n"/>
      <c r="B26" s="34" t="n"/>
      <c r="C26" s="40" t="n"/>
      <c r="D26" s="40" t="n"/>
      <c r="E26" s="40" t="n"/>
    </row>
    <row r="27">
      <c r="A27" s="46" t="n"/>
      <c r="B27" s="46" t="n"/>
      <c r="C27" s="46">
        <f>SUM(C2:C26)</f>
        <v/>
      </c>
      <c r="D27" s="46">
        <f>SUM(D2:D26)</f>
        <v/>
      </c>
      <c r="E27" s="46">
        <f>SUM(E2:E26)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"/>
  <sheetViews>
    <sheetView topLeftCell="A4" zoomScale="85" zoomScaleNormal="85" workbookViewId="0">
      <selection activeCell="C80" sqref="C80"/>
    </sheetView>
  </sheetViews>
  <sheetFormatPr baseColWidth="8" defaultRowHeight="15"/>
  <cols>
    <col width="39.7109375" customWidth="1" min="1" max="1"/>
    <col width="17.85546875" customWidth="1" min="2" max="2"/>
    <col width="20" bestFit="1" customWidth="1" min="3" max="3"/>
    <col width="10.42578125" customWidth="1" min="4" max="4"/>
    <col width="10" customWidth="1" min="6" max="6"/>
    <col width="13.42578125" customWidth="1" min="7" max="7"/>
  </cols>
  <sheetData>
    <row r="1" ht="15" customHeight="1">
      <c r="A1" s="31" t="inlineStr">
        <is>
          <t>การใช้ประโยชน์ที่ดิน</t>
        </is>
      </c>
      <c r="B1" s="32" t="inlineStr">
        <is>
          <t>ตารางกิโลเมตร</t>
        </is>
      </c>
      <c r="C1" s="32" t="inlineStr">
        <is>
          <t>ไร่</t>
        </is>
      </c>
      <c r="D1" s="32" t="inlineStr">
        <is>
          <t>ร้อยละ</t>
        </is>
      </c>
    </row>
    <row r="2" ht="15" customHeight="1">
      <c r="A2" s="47" t="inlineStr">
        <is>
          <t>1. พื้นที่เกษตรกรรม</t>
        </is>
      </c>
      <c r="B2" s="44">
        <f>SUM(B3:B43)</f>
        <v/>
      </c>
      <c r="C2" s="44">
        <f>SUM(C3:C43)</f>
        <v/>
      </c>
      <c r="D2" s="44">
        <f>C2*100/C74</f>
        <v/>
      </c>
    </row>
    <row r="3" ht="15" customHeight="1">
      <c r="A3" s="67" t="inlineStr">
        <is>
          <t>นาข้าว</t>
        </is>
      </c>
      <c r="B3" s="58">
        <f>SUM(C3*0.0016)</f>
        <v/>
      </c>
      <c r="C3" s="58" t="n">
        <v>2108.82275390625</v>
      </c>
      <c r="D3" s="56">
        <f>C3*100/$C$74</f>
        <v/>
      </c>
      <c r="I3" s="49" t="n"/>
    </row>
    <row r="4" ht="15" customHeight="1">
      <c r="A4" s="67" t="inlineStr">
        <is>
          <t>นาข้าว+ข้าวโพด</t>
        </is>
      </c>
      <c r="B4" s="58">
        <f>SUM(C4*0.0016)</f>
        <v/>
      </c>
      <c r="C4" s="58" t="n">
        <v>6286.37353515625</v>
      </c>
      <c r="D4" s="56">
        <f>C4*100/$C$74</f>
        <v/>
      </c>
      <c r="I4" s="49" t="n"/>
    </row>
    <row r="5" ht="15" customHeight="1">
      <c r="A5" s="67" t="inlineStr">
        <is>
          <t>นาข้าว+ยาสูบ</t>
        </is>
      </c>
      <c r="B5" s="58">
        <f>SUM(C5*0.0016)</f>
        <v/>
      </c>
      <c r="C5" s="58" t="n">
        <v>7.562685489654541</v>
      </c>
      <c r="D5" s="56">
        <f>C5*100/$C$74</f>
        <v/>
      </c>
      <c r="I5" s="49" t="n"/>
    </row>
    <row r="6" ht="15" customHeight="1">
      <c r="A6" s="67" t="inlineStr">
        <is>
          <t>นาข้าว+ถั่วเหลือง</t>
        </is>
      </c>
      <c r="B6" s="58">
        <f>SUM(C6*0.0016)</f>
        <v/>
      </c>
      <c r="C6" s="58" t="n">
        <v>190.8450317382812</v>
      </c>
      <c r="D6" s="56">
        <f>C6*100/$C$74</f>
        <v/>
      </c>
      <c r="I6" s="49" t="n"/>
    </row>
    <row r="7" ht="15.75" customHeight="1">
      <c r="A7" s="67" t="inlineStr">
        <is>
          <t>นาข้าว+กะหล่ำปลี</t>
        </is>
      </c>
      <c r="B7" s="58">
        <f>SUM(C7*0.0016)</f>
        <v/>
      </c>
      <c r="C7" s="58" t="n">
        <v>0.425624817609787</v>
      </c>
      <c r="D7" s="56">
        <f>C7*100/$C$74</f>
        <v/>
      </c>
      <c r="I7" s="49" t="n"/>
    </row>
    <row r="8" ht="15.75" customHeight="1">
      <c r="A8" s="67" t="inlineStr">
        <is>
          <t>นาข้าว+พืชผัก</t>
        </is>
      </c>
      <c r="B8" s="58">
        <f>SUM(C8*0.0016)</f>
        <v/>
      </c>
      <c r="C8" s="58" t="n">
        <v>286.8529357910156</v>
      </c>
      <c r="D8" s="56">
        <f>C8*100/$C$74</f>
        <v/>
      </c>
      <c r="I8" s="49" t="n"/>
    </row>
    <row r="9" ht="15.75" customHeight="1">
      <c r="A9" s="67" t="inlineStr">
        <is>
          <t>ไร่ร้าง</t>
        </is>
      </c>
      <c r="B9" s="58">
        <f>SUM(C9*0.0016)</f>
        <v/>
      </c>
      <c r="C9" s="58" t="n">
        <v>444.9332885742188</v>
      </c>
      <c r="D9" s="56">
        <f>C9*100/$C$74</f>
        <v/>
      </c>
      <c r="I9" s="49" t="n"/>
    </row>
    <row r="10" ht="15.75" customHeight="1">
      <c r="A10" s="67" t="inlineStr">
        <is>
          <t>พืชไร่ผสม</t>
        </is>
      </c>
      <c r="B10" s="58">
        <f>SUM(C10*0.0016)</f>
        <v/>
      </c>
      <c r="C10" s="58" t="n">
        <v>3.088045597076416</v>
      </c>
      <c r="D10" s="56">
        <f>C10*100/$C$74</f>
        <v/>
      </c>
      <c r="I10" s="49" t="n"/>
    </row>
    <row r="11" ht="15.75" customHeight="1">
      <c r="A11" s="67" t="inlineStr">
        <is>
          <t>ข้าวโพด</t>
        </is>
      </c>
      <c r="B11" s="58">
        <f>SUM(C11*0.0016)</f>
        <v/>
      </c>
      <c r="C11" s="58" t="n">
        <v>1060.18896484375</v>
      </c>
      <c r="D11" s="56">
        <f>C11*100/$C$74</f>
        <v/>
      </c>
      <c r="I11" s="49" t="n"/>
    </row>
    <row r="12" ht="15.75" customHeight="1">
      <c r="A12" s="67" t="inlineStr">
        <is>
          <t>ข้าวโพด/ถั่วเหลือง</t>
        </is>
      </c>
      <c r="B12" s="58">
        <f>SUM(C12*0.0016)</f>
        <v/>
      </c>
      <c r="C12" s="58" t="n">
        <v>105.2168960571289</v>
      </c>
      <c r="D12" s="56">
        <f>C12*100/$C$74</f>
        <v/>
      </c>
      <c r="I12" s="49" t="n"/>
    </row>
    <row r="13" ht="15.75" customHeight="1">
      <c r="A13" s="67" t="inlineStr">
        <is>
          <t>มันสำปะหลัง</t>
        </is>
      </c>
      <c r="B13" s="58">
        <f>SUM(C13*0.0016)</f>
        <v/>
      </c>
      <c r="C13" s="58" t="n">
        <v>215.1826782226562</v>
      </c>
      <c r="D13" s="56">
        <f>C13*100/$C$74</f>
        <v/>
      </c>
      <c r="I13" s="49" t="n"/>
    </row>
    <row r="14" ht="15.75" customHeight="1">
      <c r="A14" s="67" t="inlineStr">
        <is>
          <t>ถั่วเหลือง</t>
        </is>
      </c>
      <c r="B14" s="58">
        <f>SUM(C14*0.0016)</f>
        <v/>
      </c>
      <c r="C14" s="58" t="n">
        <v>2703.720947265625</v>
      </c>
      <c r="D14" s="56">
        <f>C14*100/$C$74</f>
        <v/>
      </c>
      <c r="I14" s="49" t="n"/>
    </row>
    <row r="15" ht="15.75" customHeight="1">
      <c r="A15" s="67" t="inlineStr">
        <is>
          <t>ถั่วดำ ถั่วแดง</t>
        </is>
      </c>
      <c r="B15" s="58">
        <f>SUM(C15*0.0016)</f>
        <v/>
      </c>
      <c r="C15" s="58" t="n">
        <v>14.46611309051514</v>
      </c>
      <c r="D15" s="56">
        <f>C15*100/$C$74</f>
        <v/>
      </c>
      <c r="I15" s="49" t="n"/>
    </row>
    <row r="16" ht="15.75" customHeight="1">
      <c r="A16" s="67" t="inlineStr">
        <is>
          <t>ข้าวไร่</t>
        </is>
      </c>
      <c r="B16" s="58">
        <f>SUM(C16*0.0016)</f>
        <v/>
      </c>
      <c r="C16" s="58" t="n">
        <v>11.37127208709717</v>
      </c>
      <c r="D16" s="56">
        <f>C16*100/$C$74</f>
        <v/>
      </c>
      <c r="I16" s="49" t="n"/>
    </row>
    <row r="17" ht="15.75" customHeight="1">
      <c r="A17" s="67" t="inlineStr">
        <is>
          <t>มันเทศ</t>
        </is>
      </c>
      <c r="B17" s="58">
        <f>SUM(C17*0.0016)</f>
        <v/>
      </c>
      <c r="C17" s="58" t="n">
        <v>45.91001510620117</v>
      </c>
      <c r="D17" s="56">
        <f>C17*100/$C$74</f>
        <v/>
      </c>
      <c r="I17" s="49" t="n"/>
    </row>
    <row r="18" ht="15.75" customHeight="1">
      <c r="A18" s="67" t="inlineStr">
        <is>
          <t>ไม้ยืนต้นร้าง/เสื่อมโทรม</t>
        </is>
      </c>
      <c r="B18" s="58">
        <f>SUM(C18*0.0016)</f>
        <v/>
      </c>
      <c r="C18" s="58" t="n">
        <v>14.34419822692871</v>
      </c>
      <c r="D18" s="56">
        <f>C18*100/$C$74</f>
        <v/>
      </c>
      <c r="I18" s="49" t="n"/>
    </row>
    <row r="19" ht="15.75" customHeight="1">
      <c r="A19" s="67" t="inlineStr">
        <is>
          <t>ยางพารา</t>
        </is>
      </c>
      <c r="B19" s="58">
        <f>SUM(C19*0.0016)</f>
        <v/>
      </c>
      <c r="C19" s="58" t="n">
        <v>35.61881256103516</v>
      </c>
      <c r="D19" s="56">
        <f>C19*100/$C$74</f>
        <v/>
      </c>
      <c r="I19" s="49" t="n"/>
    </row>
    <row r="20" ht="15.75" customHeight="1">
      <c r="A20" s="67" t="inlineStr">
        <is>
          <t>สัก</t>
        </is>
      </c>
      <c r="B20" s="58">
        <f>SUM(C20*0.0016)</f>
        <v/>
      </c>
      <c r="C20" s="58" t="n">
        <v>451.3912048339844</v>
      </c>
      <c r="D20" s="56">
        <f>C20*100/$C$74</f>
        <v/>
      </c>
      <c r="I20" s="49" t="n"/>
    </row>
    <row r="21" ht="15.75" customHeight="1">
      <c r="A21" s="67" t="inlineStr">
        <is>
          <t>สัก/กล้วย</t>
        </is>
      </c>
      <c r="B21" s="58">
        <f>SUM(C21*0.0016)</f>
        <v/>
      </c>
      <c r="C21" s="58" t="n">
        <v>2.874422550201416</v>
      </c>
      <c r="D21" s="56">
        <f>C21*100/$C$74</f>
        <v/>
      </c>
      <c r="I21" s="49" t="n"/>
    </row>
    <row r="22" ht="15.75" customHeight="1">
      <c r="A22" s="67" t="inlineStr">
        <is>
          <t>สัก/ลำไย</t>
        </is>
      </c>
      <c r="B22" s="58">
        <f>SUM(C22*0.0016)</f>
        <v/>
      </c>
      <c r="C22" s="58" t="n">
        <v>34.76309204101562</v>
      </c>
      <c r="D22" s="56">
        <f>C22*100/$C$74</f>
        <v/>
      </c>
      <c r="I22" s="49" t="n"/>
    </row>
    <row r="23" ht="15.75" customHeight="1">
      <c r="A23" s="67" t="inlineStr">
        <is>
          <t>ไม้ผลร้าง/เสื่อมโทรม</t>
        </is>
      </c>
      <c r="B23" s="58">
        <f>SUM(C23*0.0016)</f>
        <v/>
      </c>
      <c r="C23" s="58" t="n">
        <v>18.96761894226074</v>
      </c>
      <c r="D23" s="56">
        <f>C23*100/$C$74</f>
        <v/>
      </c>
      <c r="I23" s="49" t="n"/>
    </row>
    <row r="24" ht="15.75" customHeight="1">
      <c r="A24" s="67" t="inlineStr">
        <is>
          <t>ไม้ผลผสม</t>
        </is>
      </c>
      <c r="B24" s="58">
        <f>SUM(C24*0.0016)</f>
        <v/>
      </c>
      <c r="C24" s="58" t="n">
        <v>99.90750122070312</v>
      </c>
      <c r="D24" s="56">
        <f>C24*100/$C$74</f>
        <v/>
      </c>
    </row>
    <row r="25" ht="15.75" customHeight="1">
      <c r="A25" s="67" t="inlineStr">
        <is>
          <t>ส้ม</t>
        </is>
      </c>
      <c r="B25" s="58">
        <f>SUM(C25*0.0016)</f>
        <v/>
      </c>
      <c r="C25" s="58" t="n">
        <v>6.444143295288086</v>
      </c>
      <c r="D25" s="56">
        <f>C25*100/$C$74</f>
        <v/>
      </c>
    </row>
    <row r="26" ht="15.75" customHeight="1">
      <c r="A26" s="67" t="inlineStr">
        <is>
          <t>ลิ้นจี่</t>
        </is>
      </c>
      <c r="B26" s="58">
        <f>SUM(C26*0.0016)</f>
        <v/>
      </c>
      <c r="C26" s="58" t="n">
        <v>6.313218593597412</v>
      </c>
      <c r="D26" s="56">
        <f>C26*100/$C$74</f>
        <v/>
      </c>
    </row>
    <row r="27" ht="15.75" customHeight="1">
      <c r="A27" s="67" t="inlineStr">
        <is>
          <t>ลิ้นจี่/ลำไย</t>
        </is>
      </c>
      <c r="B27" s="58">
        <f>SUM(C27*0.0016)</f>
        <v/>
      </c>
      <c r="C27" s="58" t="n">
        <v>64.70090484619141</v>
      </c>
      <c r="D27" s="56">
        <f>C27*100/$C$74</f>
        <v/>
      </c>
    </row>
    <row r="28" ht="15.75" customHeight="1">
      <c r="A28" s="67" t="inlineStr">
        <is>
          <t>มะม่วง</t>
        </is>
      </c>
      <c r="B28" s="58">
        <f>SUM(C28*0.0016)</f>
        <v/>
      </c>
      <c r="C28" s="58" t="n">
        <v>136.5630493164062</v>
      </c>
      <c r="D28" s="56">
        <f>C28*100/$C$74</f>
        <v/>
      </c>
    </row>
    <row r="29" ht="15.75" customHeight="1">
      <c r="A29" s="67" t="inlineStr">
        <is>
          <t>มะม่วง/กล้วย</t>
        </is>
      </c>
      <c r="B29" s="58">
        <f>SUM(C29*0.0016)</f>
        <v/>
      </c>
      <c r="C29" s="58" t="n">
        <v>30.05926704406738</v>
      </c>
      <c r="D29" s="56">
        <f>C29*100/$C$74</f>
        <v/>
      </c>
    </row>
    <row r="30" ht="15.75" customHeight="1">
      <c r="A30" s="67" t="inlineStr">
        <is>
          <t>มะม่วง/ลำไย</t>
        </is>
      </c>
      <c r="B30" s="58">
        <f>SUM(C30*0.0016)</f>
        <v/>
      </c>
      <c r="C30" s="58" t="n">
        <v>43.46613311767578</v>
      </c>
      <c r="D30" s="56">
        <f>C30*100/$C$74</f>
        <v/>
      </c>
    </row>
    <row r="31" ht="15.75" customHeight="1">
      <c r="A31" s="67" t="inlineStr">
        <is>
          <t>กล้วย</t>
        </is>
      </c>
      <c r="B31" s="58">
        <f>SUM(C31*0.0016)</f>
        <v/>
      </c>
      <c r="C31" s="58" t="n">
        <v>245.2601318359375</v>
      </c>
      <c r="D31" s="56">
        <f>C31*100/$C$74</f>
        <v/>
      </c>
    </row>
    <row r="32" ht="15.75" customHeight="1">
      <c r="A32" s="67" t="inlineStr">
        <is>
          <t>กล้วย/ลำไย</t>
        </is>
      </c>
      <c r="B32" s="58">
        <f>SUM(C32*0.0016)</f>
        <v/>
      </c>
      <c r="C32" s="58" t="n">
        <v>10.94824600219727</v>
      </c>
      <c r="D32" s="56">
        <f>C32*100/$C$74</f>
        <v/>
      </c>
    </row>
    <row r="33" ht="15.75" customHeight="1">
      <c r="A33" s="67" t="inlineStr">
        <is>
          <t>กล้วย/มะละกอ</t>
        </is>
      </c>
      <c r="B33" s="58">
        <f>SUM(C33*0.0016)</f>
        <v/>
      </c>
      <c r="C33" s="58" t="n">
        <v>5.06576681137085</v>
      </c>
      <c r="D33" s="56">
        <f>C33*100/$C$74</f>
        <v/>
      </c>
    </row>
    <row r="34" ht="15.75" customHeight="1">
      <c r="A34" s="67" t="inlineStr">
        <is>
          <t>กล้วย/พืชผัก</t>
        </is>
      </c>
      <c r="B34" s="58">
        <f>SUM(C34*0.0016)</f>
        <v/>
      </c>
      <c r="C34" s="58" t="n">
        <v>1.013589143753052</v>
      </c>
      <c r="D34" s="56">
        <f>C34*100/$C$74</f>
        <v/>
      </c>
    </row>
    <row r="35" ht="15.75" customHeight="1">
      <c r="A35" s="67" t="inlineStr">
        <is>
          <t>มะขาม</t>
        </is>
      </c>
      <c r="B35" s="58">
        <f>SUM(C35*0.0016)</f>
        <v/>
      </c>
      <c r="C35" s="58" t="n">
        <v>25.67530250549316</v>
      </c>
      <c r="D35" s="56">
        <f>C35*100/$C$74</f>
        <v/>
      </c>
    </row>
    <row r="36" ht="15.75" customHeight="1">
      <c r="A36" s="67" t="inlineStr">
        <is>
          <t>มะขาม/ลำไย</t>
        </is>
      </c>
      <c r="B36" s="58">
        <f>SUM(C36*0.0016)</f>
        <v/>
      </c>
      <c r="C36" s="58" t="n">
        <v>4.057363986968994</v>
      </c>
      <c r="D36" s="56">
        <f>C36*100/$C$74</f>
        <v/>
      </c>
    </row>
    <row r="37" ht="15.75" customHeight="1">
      <c r="A37" s="67" t="inlineStr">
        <is>
          <t>ลำไย</t>
        </is>
      </c>
      <c r="B37" s="58">
        <f>SUM(C37*0.0016)</f>
        <v/>
      </c>
      <c r="C37" s="58" t="n">
        <v>342.8916931152344</v>
      </c>
      <c r="D37" s="56">
        <f>C37*100/$C$74</f>
        <v/>
      </c>
    </row>
    <row r="38" ht="15.75" customHeight="1">
      <c r="A38" s="67" t="inlineStr">
        <is>
          <t>มะละกอ</t>
        </is>
      </c>
      <c r="B38" s="58">
        <f>SUM(C38*0.0016)</f>
        <v/>
      </c>
      <c r="C38" s="58" t="n">
        <v>7.000945568084717</v>
      </c>
      <c r="D38" s="56">
        <f>C38*100/$C$74</f>
        <v/>
      </c>
    </row>
    <row r="39" ht="15.75" customHeight="1">
      <c r="A39" s="67" t="inlineStr">
        <is>
          <t>มะนาว</t>
        </is>
      </c>
      <c r="B39" s="58">
        <f>SUM(C39*0.0016)</f>
        <v/>
      </c>
      <c r="C39" s="58" t="n">
        <v>1.587214469909668</v>
      </c>
      <c r="D39" s="56">
        <f>C39*100/$C$74</f>
        <v/>
      </c>
    </row>
    <row r="40" ht="15.75" customHeight="1">
      <c r="A40" s="67" t="inlineStr">
        <is>
          <t>พืชผัก</t>
        </is>
      </c>
      <c r="B40" s="58">
        <f>SUM(C40*0.0016)</f>
        <v/>
      </c>
      <c r="C40" s="58" t="n">
        <v>8.405677795410156</v>
      </c>
      <c r="D40" s="56">
        <f>C40*100/$C$74</f>
        <v/>
      </c>
    </row>
    <row r="41" ht="15.75" customHeight="1">
      <c r="A41" s="67" t="inlineStr">
        <is>
          <t>ไร่หมุนเวียนร้าง</t>
        </is>
      </c>
      <c r="B41" s="58">
        <f>SUM(C41*0.0016)</f>
        <v/>
      </c>
      <c r="C41" s="58" t="n">
        <v>188.4472198486328</v>
      </c>
      <c r="D41" s="56">
        <f>C41*100/$C$74</f>
        <v/>
      </c>
    </row>
    <row r="42" ht="15.75" customHeight="1">
      <c r="A42" s="67" t="inlineStr">
        <is>
          <t>ถั่วเหลือง(ไร่หมุนเวียน)</t>
        </is>
      </c>
      <c r="B42" s="58">
        <f>SUM(C42*0.0016)</f>
        <v/>
      </c>
      <c r="C42" s="58" t="n">
        <v>330.9047241210938</v>
      </c>
      <c r="D42" s="56">
        <f>C42*100/$C$74</f>
        <v/>
      </c>
    </row>
    <row r="43" ht="15.75" customHeight="1">
      <c r="A43" s="67" t="inlineStr">
        <is>
          <t>ข้าวไร่(ไร่หมุนเวียน)</t>
        </is>
      </c>
      <c r="B43" s="58">
        <f>SUM(C43*0.0016)</f>
        <v/>
      </c>
      <c r="C43" s="58" t="n">
        <v>1.844430685043335</v>
      </c>
      <c r="D43" s="56">
        <f>C43*100/$C$74</f>
        <v/>
      </c>
    </row>
    <row r="44" ht="15.75" customHeight="1">
      <c r="A44" s="47" t="inlineStr">
        <is>
          <t>2. พื้นที่ป่าไม้</t>
        </is>
      </c>
      <c r="B44" s="44">
        <f>SUM(B45:B46)</f>
        <v/>
      </c>
      <c r="C44" s="44">
        <f>SUM(C45:C46)</f>
        <v/>
      </c>
      <c r="D44" s="44">
        <f>C44*100/$C$74</f>
        <v/>
      </c>
    </row>
    <row r="45" ht="15.75" customHeight="1">
      <c r="A45" s="67" t="inlineStr">
        <is>
          <t>ป่าผลัดใบรอสภาพฟื้นฟู</t>
        </is>
      </c>
      <c r="B45" s="58">
        <f>SUM(C45*0.0016)</f>
        <v/>
      </c>
      <c r="C45" s="58" t="n">
        <v>107.8676300048828</v>
      </c>
      <c r="D45" s="56">
        <f>C45*100/$C$74</f>
        <v/>
      </c>
    </row>
    <row r="46" ht="15.75" customHeight="1">
      <c r="A46" s="67" t="inlineStr">
        <is>
          <t>ป่าผลัดใบสมบูรณ์</t>
        </is>
      </c>
      <c r="B46" s="58">
        <f>SUM(C46*0.0016)</f>
        <v/>
      </c>
      <c r="C46" s="58" t="n">
        <v>23175.357421875</v>
      </c>
      <c r="D46" s="56">
        <f>C46*100/$C$74</f>
        <v/>
      </c>
    </row>
    <row r="48" ht="15.75" customHeight="1">
      <c r="A48" s="47" t="inlineStr">
        <is>
          <t>3. พื้นที่เบ็ดเตล็ด</t>
        </is>
      </c>
      <c r="B48" s="44">
        <f>SUM(B49:B58)</f>
        <v/>
      </c>
      <c r="C48" s="44">
        <f>SUM(C49:C58)</f>
        <v/>
      </c>
      <c r="D48" s="44">
        <f>C48*100/$C$74</f>
        <v/>
      </c>
    </row>
    <row r="49" ht="15.75" customHeight="1">
      <c r="A49" s="67" t="inlineStr">
        <is>
          <t>ทุ่งหญ้าธรรมชาติ</t>
        </is>
      </c>
      <c r="B49" s="58">
        <f>SUM(C49*0.0016)</f>
        <v/>
      </c>
      <c r="C49" s="58" t="n">
        <v>40.48654937744141</v>
      </c>
      <c r="D49" s="56">
        <f>C49*100/$C$74</f>
        <v/>
      </c>
    </row>
    <row r="50" ht="15.75" customHeight="1">
      <c r="A50" s="67" t="inlineStr">
        <is>
          <t>ทุ่งหญ้าสลับไม้พุ่ม/ไม้ละเมาะ</t>
        </is>
      </c>
      <c r="B50" s="58">
        <f>SUM(C50*0.0016)</f>
        <v/>
      </c>
      <c r="C50" s="58" t="n">
        <v>119.6103439331055</v>
      </c>
      <c r="D50" s="56">
        <f>C50*100/$C$74</f>
        <v/>
      </c>
    </row>
    <row r="51" ht="15.75" customHeight="1">
      <c r="A51" s="67" t="inlineStr">
        <is>
          <t>พื้นที่ลุ่ม</t>
        </is>
      </c>
      <c r="B51" s="58">
        <f>SUM(C51*0.0016)</f>
        <v/>
      </c>
      <c r="C51" s="58" t="n">
        <v>2432.538818359375</v>
      </c>
      <c r="D51" s="56">
        <f>C51*100/$C$74</f>
        <v/>
      </c>
    </row>
    <row r="52" ht="15.75" customHeight="1">
      <c r="A52" s="67" t="inlineStr">
        <is>
          <t>พื้นที่ลุ่ม+นาข้าว</t>
        </is>
      </c>
      <c r="B52" s="58">
        <f>SUM(C52*0.0016)</f>
        <v/>
      </c>
      <c r="C52" s="58" t="n">
        <v>73.02848052978516</v>
      </c>
      <c r="D52" s="56">
        <f>C52*100/$C$74</f>
        <v/>
      </c>
    </row>
    <row r="53" ht="15.75" customHeight="1">
      <c r="A53" s="67" t="inlineStr">
        <is>
          <t>พื้นที่ลุ่ม+ข้าวโพด</t>
        </is>
      </c>
      <c r="B53" s="58">
        <f>SUM(C53*0.0016)</f>
        <v/>
      </c>
      <c r="C53" s="58" t="n">
        <v>157.3943328857422</v>
      </c>
      <c r="D53" s="56">
        <f>C53*100/$C$74</f>
        <v/>
      </c>
    </row>
    <row r="54" ht="15.75" customHeight="1">
      <c r="A54" s="67" t="inlineStr">
        <is>
          <t>พื้นที่ลุ่ม+ถั่วเหลือง</t>
        </is>
      </c>
      <c r="B54" s="58">
        <f>SUM(C54*0.0016)</f>
        <v/>
      </c>
      <c r="C54" s="58" t="n">
        <v>2.423144102096558</v>
      </c>
      <c r="D54" s="56">
        <f>C54*100/$C$74</f>
        <v/>
      </c>
    </row>
    <row r="55" ht="15.75" customHeight="1">
      <c r="A55" s="67" t="inlineStr">
        <is>
          <t>พื้นที่ลุ่ม+พืชผัก</t>
        </is>
      </c>
      <c r="B55" s="58">
        <f>SUM(C55*0.0016)</f>
        <v/>
      </c>
      <c r="C55" s="58" t="n">
        <v>16.49443817138672</v>
      </c>
      <c r="D55" s="56">
        <f>C55*100/$C$74</f>
        <v/>
      </c>
    </row>
    <row r="56" ht="15.75" customHeight="1">
      <c r="A56" s="67" t="inlineStr">
        <is>
          <t>พื้นที่ถม</t>
        </is>
      </c>
      <c r="B56" s="58">
        <f>SUM(C56*0.0016)</f>
        <v/>
      </c>
      <c r="C56" s="58" t="n">
        <v>9.407425880432129</v>
      </c>
      <c r="D56" s="56">
        <f>C56*100/$C$74</f>
        <v/>
      </c>
    </row>
    <row r="57" ht="15.75" customHeight="1">
      <c r="A57" s="67" t="inlineStr">
        <is>
          <t>หาดทราย</t>
        </is>
      </c>
      <c r="B57" s="58">
        <f>SUM(C57*0.0016)</f>
        <v/>
      </c>
      <c r="C57" s="58" t="n">
        <v>12.71762084960938</v>
      </c>
      <c r="D57" s="56">
        <f>C57*100/$C$74</f>
        <v/>
      </c>
    </row>
    <row r="58" ht="15.75" customHeight="1">
      <c r="A58" s="67" t="inlineStr">
        <is>
          <t>ที่ทิ้งขยะ</t>
        </is>
      </c>
      <c r="B58" s="58">
        <f>SUM(C58*0.0016)</f>
        <v/>
      </c>
      <c r="C58" s="58" t="n">
        <v>0.6905404925346375</v>
      </c>
      <c r="D58" s="56">
        <f>C58*100/$C$74</f>
        <v/>
      </c>
    </row>
    <row r="59" ht="15.75" customHeight="1">
      <c r="A59" s="47" t="inlineStr">
        <is>
          <t>4. พื้นที่ชุมชนและสิ่งปลูกสร้าง</t>
        </is>
      </c>
      <c r="B59" s="44">
        <f>SUM(B60:B67)</f>
        <v/>
      </c>
      <c r="C59" s="44">
        <f>SUM(C60:C67)</f>
        <v/>
      </c>
      <c r="D59" s="44">
        <f>C59*100/$C$74</f>
        <v/>
      </c>
    </row>
    <row r="60" ht="15.75" customHeight="1">
      <c r="A60" s="67" t="inlineStr">
        <is>
          <t>ตัวเมืองและย่านการค้า</t>
        </is>
      </c>
      <c r="B60" s="58">
        <f>SUM(C60*0.0016)</f>
        <v/>
      </c>
      <c r="C60" s="58" t="n">
        <v>994.6473388671875</v>
      </c>
      <c r="D60" s="56">
        <f>C60*100/$C$74</f>
        <v/>
      </c>
    </row>
    <row r="61" ht="15.75" customHeight="1">
      <c r="A61" s="67" t="inlineStr">
        <is>
          <t>หมู่บ้านบนพื้นราบ</t>
        </is>
      </c>
      <c r="B61" s="58">
        <f>SUM(C61*0.0016)</f>
        <v/>
      </c>
      <c r="C61" s="58" t="n">
        <v>3415.696533203125</v>
      </c>
      <c r="D61" s="56">
        <f>C61*100/$C$74</f>
        <v/>
      </c>
    </row>
    <row r="62" ht="15.75" customHeight="1">
      <c r="A62" s="67" t="inlineStr">
        <is>
          <t>หมู่บ้านชาวไทยภูเขา</t>
        </is>
      </c>
      <c r="B62" s="58">
        <f>SUM(C62*0.0016)</f>
        <v/>
      </c>
      <c r="C62" s="58" t="n">
        <v>359.1167602539062</v>
      </c>
      <c r="D62" s="56">
        <f>C62*100/$C$74</f>
        <v/>
      </c>
    </row>
    <row r="63" ht="15.75" customHeight="1">
      <c r="A63" s="67" t="inlineStr">
        <is>
          <t>สถานที่ราชการและสถาบันต่าง ๆ</t>
        </is>
      </c>
      <c r="B63" s="58">
        <f>SUM(C63*0.0016)</f>
        <v/>
      </c>
      <c r="C63" s="58" t="n">
        <v>706.7492065429688</v>
      </c>
      <c r="D63" s="56">
        <f>C63*100/$C$74</f>
        <v/>
      </c>
    </row>
    <row r="64" ht="15.75" customHeight="1">
      <c r="A64" s="67" t="inlineStr">
        <is>
          <t>ถนน</t>
        </is>
      </c>
      <c r="B64" s="58">
        <f>SUM(C64*0.0016)</f>
        <v/>
      </c>
      <c r="C64" s="58" t="n">
        <v>5.562850952148438</v>
      </c>
      <c r="D64" s="56">
        <f>C64*100/$C$74</f>
        <v/>
      </c>
    </row>
    <row r="65" ht="15.75" customHeight="1">
      <c r="A65" s="67" t="inlineStr">
        <is>
          <t>ลานตากและแหล่งรับซื้อทางการเกษตร</t>
        </is>
      </c>
      <c r="B65" s="58">
        <f>SUM(C65*0.0016)</f>
        <v/>
      </c>
      <c r="C65" s="58" t="n">
        <v>0.1869577765464783</v>
      </c>
      <c r="D65" s="56">
        <f>C65*100/$C$74</f>
        <v/>
      </c>
    </row>
    <row r="66" ht="15.75" customHeight="1">
      <c r="A66" s="67" t="inlineStr">
        <is>
          <t>รีสอร์ท โรงแรม เกสต์เฮ้าส์</t>
        </is>
      </c>
      <c r="B66" s="58">
        <f>SUM(C66*0.0016)</f>
        <v/>
      </c>
      <c r="C66" s="58" t="n">
        <v>11.82126998901367</v>
      </c>
      <c r="D66" s="56">
        <f>C66*100/$C$74</f>
        <v/>
      </c>
    </row>
    <row r="67" ht="15.75" customHeight="1">
      <c r="A67" s="67" t="inlineStr">
        <is>
          <t>สุสาน ป่าช้า</t>
        </is>
      </c>
      <c r="B67" s="58">
        <f>SUM(C67*0.0016)</f>
        <v/>
      </c>
      <c r="C67" s="58" t="n">
        <v>8.913492202758789</v>
      </c>
      <c r="D67" s="56">
        <f>C67*100/$C$74</f>
        <v/>
      </c>
    </row>
    <row r="69" ht="15.75" customHeight="1">
      <c r="A69" s="47" t="inlineStr">
        <is>
          <t>5. พื้นที่น้ำ</t>
        </is>
      </c>
      <c r="B69" s="44">
        <f>SUM(B70:B73)</f>
        <v/>
      </c>
      <c r="C69" s="44">
        <f>SUM(C70:C73)</f>
        <v/>
      </c>
      <c r="D69" s="44">
        <f>C69*100/$C$74</f>
        <v/>
      </c>
    </row>
    <row r="70" ht="15.75" customHeight="1">
      <c r="A70" s="67" t="inlineStr">
        <is>
          <t>แม่น้ำ ลำห้วย ลำคลอง</t>
        </is>
      </c>
      <c r="B70" s="58">
        <f>SUM(C70*0.0016)</f>
        <v/>
      </c>
      <c r="C70" s="58" t="n">
        <v>1435.60546875</v>
      </c>
      <c r="D70" s="56">
        <f>C70*100/$C$74</f>
        <v/>
      </c>
    </row>
    <row r="71" ht="15.75" customHeight="1">
      <c r="A71" s="67" t="inlineStr">
        <is>
          <t>หนอง บึง ทะเลสาบ</t>
        </is>
      </c>
      <c r="B71" s="58">
        <f>SUM(C71*0.0016)</f>
        <v/>
      </c>
      <c r="C71" s="58" t="n">
        <v>14.16920566558838</v>
      </c>
      <c r="D71" s="56">
        <f>C71*100/$C$74</f>
        <v/>
      </c>
    </row>
    <row r="72" ht="15.75" customHeight="1">
      <c r="A72" s="67" t="inlineStr">
        <is>
          <t>อ่างเก็บน้ำ</t>
        </is>
      </c>
      <c r="B72" s="58">
        <f>SUM(C72*0.0016)</f>
        <v/>
      </c>
      <c r="C72" s="58" t="n">
        <v>9.429383277893066</v>
      </c>
      <c r="D72" s="56">
        <f>C72*100/$C$74</f>
        <v/>
      </c>
    </row>
    <row r="73" ht="15.75" customHeight="1">
      <c r="A73" s="67" t="inlineStr">
        <is>
          <t>บ่อน้ำในไร่นา</t>
        </is>
      </c>
      <c r="B73" s="58">
        <f>SUM(C73*0.0016)</f>
        <v/>
      </c>
      <c r="C73" s="58" t="n">
        <v>14.21883583068848</v>
      </c>
      <c r="D73" s="56">
        <f>C73*100/$C$74</f>
        <v/>
      </c>
    </row>
    <row r="74" ht="15.75" customHeight="1">
      <c r="A74" s="47" t="inlineStr">
        <is>
          <t>รวม</t>
        </is>
      </c>
      <c r="B74" s="44">
        <f>SUM(B69,B59,B48,B44,B2)</f>
        <v/>
      </c>
      <c r="C74" s="44">
        <f>SUM(C69,C59,C48,C44,C2)</f>
        <v/>
      </c>
      <c r="D74" s="44">
        <f>SUM(D69,D59,D48,D44,D2)</f>
        <v/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7" sqref="E7"/>
    </sheetView>
  </sheetViews>
  <sheetFormatPr baseColWidth="8" defaultRowHeight="15"/>
  <cols>
    <col width="9" customWidth="1" min="1" max="1"/>
    <col width="34" bestFit="1" customWidth="1" min="2" max="2"/>
    <col width="9.42578125" customWidth="1" min="3" max="3"/>
    <col width="17.5703125" customWidth="1" min="4" max="4"/>
    <col width="11.5703125" customWidth="1" min="5" max="5"/>
    <col width="13.140625" customWidth="1" min="6" max="6"/>
    <col width="14.140625" customWidth="1" min="7" max="7"/>
  </cols>
  <sheetData>
    <row r="1">
      <c r="A1" s="85" t="inlineStr">
        <is>
          <t>โบราณสถานระยะ 1 กิโลเมตร</t>
        </is>
      </c>
    </row>
    <row r="2">
      <c r="A2" s="43" t="inlineStr">
        <is>
          <t>NO</t>
        </is>
      </c>
      <c r="B2" s="43" t="inlineStr">
        <is>
          <t>NAME</t>
        </is>
      </c>
      <c r="C2" s="43" t="inlineStr">
        <is>
          <t>TYPE</t>
        </is>
      </c>
      <c r="D2" s="43" t="inlineStr">
        <is>
          <t>STATUS</t>
        </is>
      </c>
      <c r="E2" s="43" t="inlineStr">
        <is>
          <t>TAMBOL</t>
        </is>
      </c>
      <c r="F2" s="43" t="inlineStr">
        <is>
          <t>AMPHOE</t>
        </is>
      </c>
      <c r="G2" s="43" t="inlineStr">
        <is>
          <t>CHANGWAT</t>
        </is>
      </c>
    </row>
    <row r="3">
      <c r="A3" s="36" t="n">
        <v>1</v>
      </c>
      <c r="B3" s="36" t="inlineStr">
        <is>
          <t>วัดผาผ่า</t>
        </is>
      </c>
      <c r="C3" s="34" t="n"/>
      <c r="D3" s="36" t="inlineStr">
        <is>
          <t>ขึ้นทะเบียนแล้ว</t>
        </is>
      </c>
      <c r="E3" s="36" t="inlineStr">
        <is>
          <t>แม่คะตวน</t>
        </is>
      </c>
      <c r="F3" s="36" t="inlineStr">
        <is>
          <t>สบเมย</t>
        </is>
      </c>
      <c r="G3" s="36" t="inlineStr">
        <is>
          <t>แม่ฮ่องสอน</t>
        </is>
      </c>
    </row>
  </sheetData>
  <mergeCells count="1">
    <mergeCell ref="A1:G1"/>
  </mergeCells>
  <dataValidations count="1">
    <dataValidation sqref="C2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H4" sqref="H4"/>
    </sheetView>
  </sheetViews>
  <sheetFormatPr baseColWidth="8" defaultRowHeight="15"/>
  <cols>
    <col width="21.140625" customWidth="1" style="2" min="1" max="1"/>
    <col width="9.85546875" customWidth="1" min="2" max="2"/>
    <col width="13" customWidth="1" min="3" max="3"/>
    <col width="15.7109375" customWidth="1" style="37" min="5" max="5"/>
    <col width="17.140625" customWidth="1" style="37" min="6" max="6"/>
    <col width="18.42578125" customWidth="1" min="13" max="13"/>
  </cols>
  <sheetData>
    <row r="1">
      <c r="A1" s="95" t="inlineStr">
        <is>
          <t>ที่ตัดผ่านแนวในเขตทางเส้นทางโครงการ</t>
        </is>
      </c>
      <c r="B1" s="96" t="n"/>
      <c r="C1" s="96" t="n"/>
      <c r="D1" s="96" t="n"/>
      <c r="E1" s="96" t="n"/>
      <c r="F1" s="97" t="n"/>
    </row>
    <row r="2">
      <c r="A2" s="13" t="inlineStr">
        <is>
          <t>พื้นที่ลุ่มน้ำในเขตทาง</t>
        </is>
      </c>
      <c r="B2" s="14" t="inlineStr">
        <is>
          <t>ตร.กม.</t>
        </is>
      </c>
      <c r="C2" s="14" t="inlineStr">
        <is>
          <t>ตร.ม.</t>
        </is>
      </c>
      <c r="D2" s="57" t="inlineStr">
        <is>
          <t>ไร่</t>
        </is>
      </c>
      <c r="E2" s="15" t="inlineStr">
        <is>
          <t xml:space="preserve"> </t>
        </is>
      </c>
      <c r="F2" s="43" t="inlineStr">
        <is>
          <t>กม. ที่ตัดผ่าน</t>
        </is>
      </c>
    </row>
    <row r="3" ht="23.25" customHeight="1">
      <c r="A3" s="62" t="inlineStr">
        <is>
          <t>ชันคุณภาพลุ่มน้ำ 1A</t>
        </is>
      </c>
      <c r="B3" s="42">
        <f>C3/1000000</f>
        <v/>
      </c>
      <c r="C3" s="40" t="n">
        <v>343013.6</v>
      </c>
      <c r="D3" s="41">
        <f>C3/1600</f>
        <v/>
      </c>
      <c r="E3" s="39" t="n"/>
      <c r="F3" s="68" t="inlineStr">
        <is>
          <t>193+348 - 193+599
194+034 - 197+261</t>
        </is>
      </c>
    </row>
    <row r="4" ht="28.5" customHeight="1">
      <c r="A4" s="62" t="inlineStr">
        <is>
          <t>ชันคุณภาพลุ่มน้ำ 1B</t>
        </is>
      </c>
      <c r="B4" s="42">
        <f>C4/1000000</f>
        <v/>
      </c>
      <c r="C4" s="40" t="n">
        <v>66882.87</v>
      </c>
      <c r="D4" s="41">
        <f>C4/1600</f>
        <v/>
      </c>
      <c r="E4" s="39" t="n"/>
      <c r="F4" s="68" t="inlineStr">
        <is>
          <t>193+043 - 193+110
197+245 - 198+022</t>
        </is>
      </c>
    </row>
    <row r="5">
      <c r="A5" s="62" t="inlineStr">
        <is>
          <t>ชันคุณภาพลุ่มน้ำ 2</t>
        </is>
      </c>
      <c r="B5" s="42">
        <f>C5/1000000</f>
        <v/>
      </c>
      <c r="C5" s="40" t="n">
        <v>241132</v>
      </c>
      <c r="D5" s="41">
        <f>C5/1600</f>
        <v/>
      </c>
      <c r="E5" s="39" t="n"/>
      <c r="F5" s="34" t="n"/>
    </row>
    <row r="6">
      <c r="A6" s="62" t="inlineStr">
        <is>
          <t>ชันคุณภาพลุ่มน้ำ 3</t>
        </is>
      </c>
      <c r="B6" s="42">
        <f>C6/1000000</f>
        <v/>
      </c>
      <c r="C6" s="40" t="n">
        <v>509395.4</v>
      </c>
      <c r="D6" s="41">
        <f>C6/1600</f>
        <v/>
      </c>
      <c r="E6" s="45" t="n"/>
      <c r="F6" s="45" t="n"/>
    </row>
    <row r="7">
      <c r="A7" s="62" t="inlineStr">
        <is>
          <t>ชันคุณภาพลุ่มน้ำ 4</t>
        </is>
      </c>
      <c r="B7" s="42">
        <f>C7/1000000</f>
        <v/>
      </c>
      <c r="C7" s="40" t="n">
        <v>369832.6</v>
      </c>
      <c r="D7" s="41">
        <f>C7/1600</f>
        <v/>
      </c>
      <c r="E7" s="39" t="n"/>
      <c r="F7" s="34" t="n"/>
    </row>
    <row r="8">
      <c r="A8" s="62" t="inlineStr">
        <is>
          <t>ชันคุณภาพลุ่มน้ำ 5</t>
        </is>
      </c>
      <c r="B8" s="42">
        <f>C8/1000000</f>
        <v/>
      </c>
      <c r="C8" s="40" t="n">
        <v>768703.8</v>
      </c>
      <c r="D8" s="41">
        <f>C8/1600</f>
        <v/>
      </c>
      <c r="E8" s="39" t="n"/>
      <c r="F8" s="34" t="n"/>
    </row>
    <row r="9"/>
    <row r="10">
      <c r="A10" s="25" t="n"/>
      <c r="B10" s="50">
        <f>SUM(B3:B8)</f>
        <v/>
      </c>
      <c r="C10" s="50">
        <f>SUM(C3:C8)</f>
        <v/>
      </c>
      <c r="D10" s="50">
        <f>SUM(D3:D8)</f>
        <v/>
      </c>
      <c r="E10" s="46" t="n"/>
      <c r="F10" s="38" t="n"/>
    </row>
    <row r="13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nakorn srithiwong</dc:creator>
  <dcterms:created xmlns:dcterms="http://purl.org/dc/terms/" xmlns:xsi="http://www.w3.org/2001/XMLSchema-instance" xsi:type="dcterms:W3CDTF">2026-02-18T11:46:51Z</dcterms:created>
  <dcterms:modified xmlns:dcterms="http://purl.org/dc/terms/" xmlns:xsi="http://www.w3.org/2001/XMLSchema-instance" xsi:type="dcterms:W3CDTF">2026-07-10T08:35:20Z</dcterms:modified>
  <cp:lastModifiedBy>TMCC PC2026</cp:lastModifiedBy>
</cp:coreProperties>
</file>