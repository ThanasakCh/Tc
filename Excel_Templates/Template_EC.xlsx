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F4A3FE08-D261-49EE-B850-4F23170ECAE1}" xr6:coauthVersionLast="47" xr6:coauthVersionMax="47" xr10:uidLastSave="{00000000-0000-0000-0000-000000000000}"/>
  <bookViews>
    <workbookView xWindow="-120" yWindow="-120" windowWidth="38640" windowHeight="21120" tabRatio="820" xr2:uid="{50D89F90-9325-492C-9A67-6A07E24279D7}"/>
  </bookViews>
  <sheets>
    <sheet name="1.ป่า" sheetId="3" r:id="rId1"/>
    <sheet name="2.พื้นที่หมู่บ้าน" sheetId="1" r:id="rId2"/>
    <sheet name="3.ตรวจสอบสถานศึกษา" sheetId="15" r:id="rId3"/>
    <sheet name="4.การใช้ประโยชน์ที่ดิน" sheetId="5" r:id="rId4"/>
    <sheet name="5.แหล่งโบราณสถาน" sheetId="6" r:id="rId5"/>
    <sheet name="6.แหล่งทรัพยากรทางธรณี" sheetId="12" r:id="rId6"/>
    <sheet name="7.เสี่ยงต่อการเกิดดินถล่ม" sheetId="13" r:id="rId7"/>
    <sheet name="8.เสี่ยงต่อการเกิดแผ่นดินไหว" sheetId="14" r:id="rId8"/>
    <sheet name="9.จุดตัดแหล่งน้ำ" sheetId="16" r:id="rId9"/>
    <sheet name="10.ความลาดชัน" sheetId="17" r:id="rId10"/>
    <sheet name="11.การชะล้างพังทลาย" sheetId="18" r:id="rId11"/>
    <sheet name="12.ชั้นคุณภาพลุ่มน้ำ" sheetId="19" r:id="rId12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4" i="5" l="1"/>
  <c r="B55" i="5"/>
  <c r="B56" i="5"/>
  <c r="B53" i="5"/>
  <c r="B52" i="5" s="1"/>
  <c r="B57" i="5" s="1"/>
  <c r="B2" i="5"/>
  <c r="B33" i="5"/>
  <c r="B36" i="5"/>
  <c r="B43" i="5"/>
  <c r="B4" i="5"/>
  <c r="C8" i="18"/>
  <c r="C3" i="18"/>
  <c r="C2" i="5"/>
  <c r="C5" i="18"/>
  <c r="C4" i="18"/>
  <c r="B38" i="5"/>
  <c r="B37" i="5"/>
  <c r="B3" i="5"/>
  <c r="E15" i="18"/>
  <c r="C16" i="18"/>
  <c r="C17" i="18"/>
  <c r="C15" i="18"/>
  <c r="E8" i="18"/>
  <c r="D8" i="18"/>
  <c r="C6" i="18"/>
  <c r="C7" i="18"/>
  <c r="D9" i="3"/>
  <c r="B9" i="3"/>
  <c r="D8" i="3"/>
  <c r="B8" i="3"/>
  <c r="D7" i="3"/>
  <c r="B7" i="3"/>
  <c r="B7" i="19"/>
  <c r="B6" i="19"/>
  <c r="B5" i="19"/>
  <c r="B4" i="19"/>
  <c r="B3" i="19"/>
  <c r="B8" i="19" s="1"/>
  <c r="C8" i="19"/>
  <c r="C33" i="5"/>
  <c r="C36" i="5"/>
  <c r="C43" i="5"/>
  <c r="C52" i="5"/>
  <c r="B44" i="5"/>
  <c r="B45" i="5"/>
  <c r="B46" i="5"/>
  <c r="B47" i="5"/>
  <c r="B48" i="5"/>
  <c r="B49" i="5"/>
  <c r="B50" i="5"/>
  <c r="B51" i="5"/>
  <c r="B39" i="5"/>
  <c r="B40" i="5"/>
  <c r="B41" i="5"/>
  <c r="B42" i="5"/>
  <c r="B35" i="5"/>
  <c r="B3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D5" i="3"/>
  <c r="B5" i="3"/>
  <c r="D4" i="3"/>
  <c r="B4" i="3"/>
  <c r="D6" i="3" l="1"/>
  <c r="B6" i="3"/>
  <c r="K3" i="3"/>
  <c r="I3" i="3"/>
  <c r="D8" i="19" l="1"/>
  <c r="C20" i="18"/>
  <c r="D20" i="18"/>
  <c r="E16" i="18" s="1"/>
  <c r="B3" i="3"/>
  <c r="E5" i="18" l="1"/>
  <c r="E3" i="18"/>
  <c r="E17" i="18"/>
  <c r="E18" i="18"/>
  <c r="E19" i="18"/>
  <c r="E4" i="18"/>
  <c r="E7" i="18"/>
  <c r="E6" i="18"/>
  <c r="C57" i="5"/>
  <c r="D3" i="3"/>
  <c r="D36" i="5" l="1"/>
  <c r="D55" i="5"/>
  <c r="D43" i="5"/>
  <c r="D44" i="5"/>
  <c r="D49" i="5"/>
  <c r="D48" i="5"/>
  <c r="D39" i="5"/>
  <c r="D37" i="5"/>
  <c r="D40" i="5"/>
  <c r="D41" i="5"/>
  <c r="D38" i="5"/>
  <c r="D2" i="5"/>
  <c r="D3" i="5"/>
  <c r="D5" i="5"/>
  <c r="D4" i="5"/>
  <c r="D8" i="5"/>
  <c r="D21" i="5"/>
  <c r="D53" i="5"/>
  <c r="D10" i="5"/>
  <c r="D45" i="5"/>
  <c r="D22" i="5"/>
  <c r="D20" i="5"/>
  <c r="D6" i="5"/>
  <c r="D7" i="5"/>
  <c r="D19" i="5"/>
  <c r="D18" i="5"/>
  <c r="D56" i="5"/>
  <c r="D17" i="5"/>
  <c r="D16" i="5"/>
  <c r="D15" i="5"/>
  <c r="D14" i="5"/>
  <c r="D46" i="5"/>
  <c r="D23" i="5"/>
  <c r="D13" i="5"/>
  <c r="D47" i="5"/>
  <c r="D24" i="5"/>
  <c r="D12" i="5"/>
  <c r="D50" i="5"/>
  <c r="D25" i="5"/>
  <c r="D51" i="5"/>
  <c r="D26" i="5"/>
  <c r="D27" i="5"/>
  <c r="D54" i="5"/>
  <c r="D9" i="5"/>
  <c r="D11" i="5"/>
  <c r="D42" i="5"/>
  <c r="D28" i="5"/>
  <c r="D35" i="5"/>
  <c r="D29" i="5"/>
  <c r="D34" i="5"/>
  <c r="D30" i="5"/>
  <c r="D31" i="5"/>
  <c r="D32" i="5"/>
  <c r="D33" i="5"/>
  <c r="D52" i="5"/>
  <c r="E20" i="18"/>
  <c r="D57" i="5" l="1"/>
</calcChain>
</file>

<file path=xl/sharedStrings.xml><?xml version="1.0" encoding="utf-8"?>
<sst xmlns="http://schemas.openxmlformats.org/spreadsheetml/2006/main" count="414" uniqueCount="267">
  <si>
    <t>หมู่บ้าน</t>
  </si>
  <si>
    <t>อปท.</t>
  </si>
  <si>
    <t>ตำบล</t>
  </si>
  <si>
    <t>อำเภอ</t>
  </si>
  <si>
    <t>จังหวัด</t>
  </si>
  <si>
    <t>ลำดับที่</t>
  </si>
  <si>
    <t>ป่าสงวนแห่งชาติ</t>
  </si>
  <si>
    <t>กม.</t>
  </si>
  <si>
    <t>ระยะทาง (กิโลเมตร)</t>
  </si>
  <si>
    <t>ป่าถาวร</t>
  </si>
  <si>
    <t>ตร.กม.</t>
  </si>
  <si>
    <t>ตร.ม.</t>
  </si>
  <si>
    <t>ไร่</t>
  </si>
  <si>
    <t>เขตทาง</t>
  </si>
  <si>
    <t>รวม</t>
  </si>
  <si>
    <t>NO</t>
  </si>
  <si>
    <t>NAME</t>
  </si>
  <si>
    <t>TYPE</t>
  </si>
  <si>
    <t>STATUS</t>
  </si>
  <si>
    <t>TAMBOL</t>
  </si>
  <si>
    <t>AMPHOE</t>
  </si>
  <si>
    <t>CHANGWAT</t>
  </si>
  <si>
    <t>โบราณสถานระยะ 500 เมตร</t>
  </si>
  <si>
    <t>ตารางกิโลเมตร</t>
  </si>
  <si>
    <t>ร้อยละ</t>
  </si>
  <si>
    <t>1. พื้นที่เกษตรกรรม</t>
  </si>
  <si>
    <t>2. พื้นที่ป่าไม้</t>
  </si>
  <si>
    <t>3. พื้นที่เบ็ดเตล็ด</t>
  </si>
  <si>
    <t>ทุ่งหญ้าสลับไม้พุ่ม/ไม้ละเมาะ</t>
  </si>
  <si>
    <t>4. พื้นที่ชุมชนและสิ่งปลูกสร้าง</t>
  </si>
  <si>
    <t>หมู่บ้านบนพื้นราบ</t>
  </si>
  <si>
    <t>สถานที่ราชการและสถาบันต่าง ๆ</t>
  </si>
  <si>
    <t>หมู่บ้านที่อยู่ในพื้นที่ศึกษาระยะ 500 เมตร</t>
  </si>
  <si>
    <t>สถานศึกษาที่อยู่ในพื้นที่ศึกษาระยะ 500 เมตร</t>
  </si>
  <si>
    <t>ศาสนสถานที่อยู่ในพื้นที่ศึกษาระยะ 500 เมตร</t>
  </si>
  <si>
    <t>สถานพยาบาลที่อยู่ในพื้นที่ศึกษาระยะ 500 เมตร</t>
  </si>
  <si>
    <t>ลำน้ำ</t>
  </si>
  <si>
    <t>จุดตัดแหล่งน้ำ</t>
  </si>
  <si>
    <t>ประเภทการใช้ประโยชน์ที่ดินในรัศมี 500 เมตร</t>
  </si>
  <si>
    <t>ถนน</t>
  </si>
  <si>
    <t>ความลาดชัน</t>
  </si>
  <si>
    <t>ความสูงภูมิประเทศ</t>
  </si>
  <si>
    <t>ระดับความรุนแรง</t>
  </si>
  <si>
    <t>อัตราการสูญเสีย (ตัน/ไร่/ปี)</t>
  </si>
  <si>
    <t>น้อย</t>
  </si>
  <si>
    <t>0 – 2</t>
  </si>
  <si>
    <t>ปานกลาง</t>
  </si>
  <si>
    <t>2 – 5</t>
  </si>
  <si>
    <t>รุนแรง</t>
  </si>
  <si>
    <t>5 – 15</t>
  </si>
  <si>
    <t>รุนแรงมาก</t>
  </si>
  <si>
    <t xml:space="preserve">15 - 20 </t>
  </si>
  <si>
    <t>รุนแรงมากที่สุด</t>
  </si>
  <si>
    <t xml:space="preserve">&gt; 20 </t>
  </si>
  <si>
    <t>การชะล้างพังทลายของดิน (กรมพัฒนาที่ดิน ปี พ.ศ. 2563) ในเขตทาง</t>
  </si>
  <si>
    <t>การชะล้างพังทลายของดิน (กรมพัฒนาที่ดิน ปี พ.ศ. 2563) ระยะ 500 เมตร</t>
  </si>
  <si>
    <t>ไม้ผลผสม</t>
  </si>
  <si>
    <t>www.dmr.go.th</t>
  </si>
  <si>
    <t>แหล่งทรัพยากรทางธรณีในระยะ 500 เมตร</t>
  </si>
  <si>
    <t>สถานศึกษา</t>
  </si>
  <si>
    <t>ศาสนสถาน</t>
  </si>
  <si>
    <t>สถานพยาบาล</t>
  </si>
  <si>
    <t>5. พื้นที่น้ำ</t>
  </si>
  <si>
    <t>บ่อน้ำในไร่นา</t>
  </si>
  <si>
    <t>พื้นที่มีโอกาสเกิดหลุมยุบ</t>
  </si>
  <si>
    <t>พื้นที่มีโอกาสเกิดแผ่นดินถล่ม</t>
  </si>
  <si>
    <t>ยางพารา</t>
  </si>
  <si>
    <t>พื้นที่ลุ่มน้ำในเขตทาง</t>
  </si>
  <si>
    <t>ชันคุณภาพลุ่มน้ำ 3</t>
  </si>
  <si>
    <t>ชันคุณภาพลุ่มน้ำ 4</t>
  </si>
  <si>
    <t>ชันคุณภาพลุ่มน้ำ 5</t>
  </si>
  <si>
    <t>ปาล์มน้ำมัน</t>
  </si>
  <si>
    <t>แม่น้ำ ลำห้วย ลำคลอง</t>
  </si>
  <si>
    <t>นาข้าว</t>
  </si>
  <si>
    <t>ไร่ร้าง</t>
  </si>
  <si>
    <t>มะขาม</t>
  </si>
  <si>
    <t>กล้วย</t>
  </si>
  <si>
    <t>สัก</t>
  </si>
  <si>
    <t>ยูคาลิปตัส</t>
  </si>
  <si>
    <t>มันสำปะหลัง</t>
  </si>
  <si>
    <t>อ้อย</t>
  </si>
  <si>
    <t>ป่าผลัดใบสมบูรณ์</t>
  </si>
  <si>
    <t>ป่าผลัดใบรอสภาพฟื้นฟู</t>
  </si>
  <si>
    <t>สุสาน ป่าช้า</t>
  </si>
  <si>
    <t>ลานตากและแหล่งรับซื้อทางการเกษตร</t>
  </si>
  <si>
    <t>หนอง บึง ทะเลสาบ</t>
  </si>
  <si>
    <t>ชันคุณภาพลุ่มน้ำ 2</t>
  </si>
  <si>
    <t>ไผ่ปลูกเพื่อการค้า</t>
  </si>
  <si>
    <t>โรงงานอุตสาหกรรม</t>
  </si>
  <si>
    <t>หมู่</t>
  </si>
  <si>
    <t>บ้านดอนทราย</t>
  </si>
  <si>
    <t>บ้านแม่ปะดอย</t>
  </si>
  <si>
    <t>บ้านหัวน้ำ</t>
  </si>
  <si>
    <t>บ้านสะพานหิน</t>
  </si>
  <si>
    <t>บ้านสันป่ามอญ</t>
  </si>
  <si>
    <t>บ้านท่าเวียง</t>
  </si>
  <si>
    <t>บ้านสะเลียมหวาน</t>
  </si>
  <si>
    <t>บ้านปางอ้า</t>
  </si>
  <si>
    <t>12</t>
  </si>
  <si>
    <t>06</t>
  </si>
  <si>
    <t>08</t>
  </si>
  <si>
    <t>03</t>
  </si>
  <si>
    <t>04</t>
  </si>
  <si>
    <t>01</t>
  </si>
  <si>
    <t>02</t>
  </si>
  <si>
    <t>ล้อมแรด</t>
  </si>
  <si>
    <t>เถิน</t>
  </si>
  <si>
    <t>ลำปาง</t>
  </si>
  <si>
    <t>แม่ปะ</t>
  </si>
  <si>
    <t>แม่มอก</t>
  </si>
  <si>
    <t>เวียงมอก</t>
  </si>
  <si>
    <t>ศูนย์พัฒนาเด็กเล็กบ้านท่าเกวียน</t>
  </si>
  <si>
    <t>ศูนย์พัฒนาเด็กเล็กบ้านสะเลียมหวาน</t>
  </si>
  <si>
    <t>ศูนย์พัฒนาเด็กเล็กบ้านห้วยริน</t>
  </si>
  <si>
    <t>ศูนย์พัฒนาเด็กเล็กบ้านสะพานหิน</t>
  </si>
  <si>
    <t>ศูนย์พัฒนาเด็กเล็กบ้านกุ่มเนิ้งใต้</t>
  </si>
  <si>
    <t>โรงเรียนบ้านท่าเกวียน</t>
  </si>
  <si>
    <t>โรงเรียนบ้านสะเลียมหวาน</t>
  </si>
  <si>
    <t>โรงเรียนบ้านท่าเวียง (อภิวงศานุเคราะห์)</t>
  </si>
  <si>
    <t>โรงเรียนเวียงมอกวิทยา</t>
  </si>
  <si>
    <t>โรงเรียนบ้านสะพานหิน</t>
  </si>
  <si>
    <t>วิทยาลัยการอาชีพเถิน</t>
  </si>
  <si>
    <t>ศูนย์การศึกษานอกระบบและการศึกษาตามอัธยาศัยตำบลล้อมแรด</t>
  </si>
  <si>
    <t>ตำบลเวียงมอก</t>
  </si>
  <si>
    <t>อำเภอเถิน</t>
  </si>
  <si>
    <t>จังหวัดลำปาง</t>
  </si>
  <si>
    <t>ตำบลแม่มอก</t>
  </si>
  <si>
    <t>ตำบลล้อมแรด</t>
  </si>
  <si>
    <t>วัดห้วยเกาะหลวง (ม)</t>
  </si>
  <si>
    <t>วัดสะเลียมหวาน</t>
  </si>
  <si>
    <t>วัดพระธาตุดอยแก้ว</t>
  </si>
  <si>
    <t>วัดท่าเวียง</t>
  </si>
  <si>
    <t>วัดห้วยริน</t>
  </si>
  <si>
    <t>วัดท่าเกวียน</t>
  </si>
  <si>
    <t>วัดหนองเชียงราน</t>
  </si>
  <si>
    <t>วัดบ้านสะพานหิน</t>
  </si>
  <si>
    <t>โรงพยาบาลส่งเสริมสุขภาพตำบลบ้านหนองหอย ตำบลเวียงมอก</t>
  </si>
  <si>
    <t>โรงพยาบาลส่งเสริมสุขภาพตำบลบ้านกุ่มเนิ้ง ตำบลแม่มอก</t>
  </si>
  <si>
    <t>โรงพยาบาลส่งเสริมสุขภาพตำบลสะเลียมหวาน</t>
  </si>
  <si>
    <t>โรงพยาบาลส่งเสริมสุขภาพตำบลบ้านท่าเกวียน ตำบลเวียงมอก</t>
  </si>
  <si>
    <t>นาร้าง</t>
  </si>
  <si>
    <t>พืชไร่ผสม</t>
  </si>
  <si>
    <t>ข้าวโพด</t>
  </si>
  <si>
    <t>สัก/มะม่วง</t>
  </si>
  <si>
    <t>สัก/กล้วย</t>
  </si>
  <si>
    <t>สัก/มะขาม</t>
  </si>
  <si>
    <t>สัก/มะขาม/ลำไย</t>
  </si>
  <si>
    <t>สัก/ลำไย</t>
  </si>
  <si>
    <t>สะเดา/มะม่วง</t>
  </si>
  <si>
    <t>จามจุรี</t>
  </si>
  <si>
    <t>ตะกู</t>
  </si>
  <si>
    <t>มะม่วง</t>
  </si>
  <si>
    <t>มะม่วง/มะขาม</t>
  </si>
  <si>
    <t>มะม่วง/ลำไย</t>
  </si>
  <si>
    <t>กล้วย/ลำไย</t>
  </si>
  <si>
    <t>มะขาม/ลำไย</t>
  </si>
  <si>
    <t>ลำไย</t>
  </si>
  <si>
    <t>แก้วมังกร</t>
  </si>
  <si>
    <t>ทุ่งหญ้าธรรมชาติ</t>
  </si>
  <si>
    <t>เหมืองเก่า บ่อขุดเก่า</t>
  </si>
  <si>
    <t>บ่อดิน</t>
  </si>
  <si>
    <t>พื้นที่ถม</t>
  </si>
  <si>
    <t>ที่ทิ้งขยะ</t>
  </si>
  <si>
    <t>สถานที่พักผ่อนหย่อนใจ</t>
  </si>
  <si>
    <t>รีสอร์ท โรงแรม เกสต์เฮ้าส์</t>
  </si>
  <si>
    <t>อ่างเก็บน้ำ</t>
  </si>
  <si>
    <t>พระธาตุดอยแก้ว</t>
  </si>
  <si>
    <t>รอพิจารณาขึ้นทะเบียน</t>
  </si>
  <si>
    <t>ชันคุณภาพลุ่มน้ำ 1A</t>
  </si>
  <si>
    <t xml:space="preserve"> กม.ที่แนวเส้นตัดผ่าน</t>
  </si>
  <si>
    <t>ไม่ตัดผ่านแนวเส้น</t>
  </si>
  <si>
    <t>ระยะ 500 เมตร</t>
  </si>
  <si>
    <t>ป่าแม่พันลำ และป่าแม่มอก zone E</t>
  </si>
  <si>
    <t>ป่าแม่มอก zone None</t>
  </si>
  <si>
    <t>ป่าแม่มอก zone E</t>
  </si>
  <si>
    <t>ป่าแม่มอก zone C</t>
  </si>
  <si>
    <t>ป่าแม่เลิมและป่าแม่ปะ zone None</t>
  </si>
  <si>
    <t>ป่าแม่เลิมและป่าแม่ปะ zone E</t>
  </si>
  <si>
    <t>ป่าแม่เลิมและป่าแม่ปะ zone C</t>
  </si>
  <si>
    <t>45+498 - 46+204
46+562 - 53+440
54+529 - 59+133
76+514 - 82+828</t>
  </si>
  <si>
    <t>82+828 - 84+990</t>
  </si>
  <si>
    <t>ป่าแม่มอก (หมายเลข 54)</t>
  </si>
  <si>
    <t>พลวง</t>
  </si>
  <si>
    <t>แร่พลวงเกิดร่วมอยู่ในสายแร่ควอตซ์ ที่เกิดเป็นสายแทรกอยู่ในแนวรอยเลื่อนที่ตัดเข้ามาในหินดินดานและหินโคลน แนว NNW-SSE/70-75°W สายแร่กว้าง 0.3-1 ม. ยาว &gt;500 ม. ลึก &gt;5 ม. เกิดร่วมกับแร่ควอตซ์และไพไรต์</t>
  </si>
  <si>
    <t>พื้นที่ระดับความอ่อนไหวดินถล่มต่ำมาก มีโอกาสเกิดดินถล่มน้อยมาก</t>
  </si>
  <si>
    <t>พื้นที่ระดับความอ่อนไหวดินถล่มต่ำ มีโอกาสเกิดดินถล่มน้อย</t>
  </si>
  <si>
    <t>พื้นที่ระดับความอ่อนไหวดินถล่มปานกลาง ดินถล่มอาจเกิดขึ้นได้บ้างตามลักษณะของฤดูกาล</t>
  </si>
  <si>
    <t>พื้นที่ระดับความอ่อนไหวดินถล่มสูง และมีความเป็นไปได้ในการเกิดดินถล่มใหม่ๆ</t>
  </si>
  <si>
    <t>พื้นที่ที่มีโอกาสเกิดหลุมยุบน้อย</t>
  </si>
  <si>
    <t>พื้นที่ที่มีโอกาสเกิดหลุมยุบปานกลาง</t>
  </si>
  <si>
    <t>พื้นที่ที่มีโอกาสเกิดหลุมยุบสูง</t>
  </si>
  <si>
    <t>แผนที่เสียงแผ่นดินไหวจังหวัดลำปาง</t>
  </si>
  <si>
    <t>VII รุนแรงมาก (ฝาห้องแยก ร้าว กรุเพดานร่วง ; 22-40 %g)</t>
  </si>
  <si>
    <t>106 - 479 เมตร</t>
  </si>
  <si>
    <t>65+730 - 66+081
66+355 - 67+552
69+074 - 69+400
72+596 - 73+191
74+168 - 74+392</t>
  </si>
  <si>
    <t>ห้วยดิบเนียม</t>
  </si>
  <si>
    <t>40+657</t>
  </si>
  <si>
    <t>42+625</t>
  </si>
  <si>
    <t>ห้วยแม่พุ</t>
  </si>
  <si>
    <t>44+347</t>
  </si>
  <si>
    <t>แหล่งน้ำไม่ทราบชื่อ</t>
  </si>
  <si>
    <t>44+874</t>
  </si>
  <si>
    <t>46+144</t>
  </si>
  <si>
    <t>ห้วยม่วง</t>
  </si>
  <si>
    <t>48+724</t>
  </si>
  <si>
    <t>ห้วยไม้สัก</t>
  </si>
  <si>
    <t>49+645</t>
  </si>
  <si>
    <t>ห้วยพริกแด้</t>
  </si>
  <si>
    <t>50+444</t>
  </si>
  <si>
    <t>ห้วยเตาปูน</t>
  </si>
  <si>
    <t>51+268</t>
  </si>
  <si>
    <t>ห้วยปาปอ</t>
  </si>
  <si>
    <t>51+840</t>
  </si>
  <si>
    <t>ห้วยขามป้อม</t>
  </si>
  <si>
    <t>52+281</t>
  </si>
  <si>
    <t>ห้วยก้าวไห</t>
  </si>
  <si>
    <t>53+390</t>
  </si>
  <si>
    <t>ห้วยเต่าไห</t>
  </si>
  <si>
    <t>54+582</t>
  </si>
  <si>
    <t>ห้วยพราง</t>
  </si>
  <si>
    <t>56+886</t>
  </si>
  <si>
    <t>ห้วยแห้ง</t>
  </si>
  <si>
    <t>58+756</t>
  </si>
  <si>
    <t>59+107</t>
  </si>
  <si>
    <t>ห้วยแห้งเชียงใหม่</t>
  </si>
  <si>
    <t>60+582</t>
  </si>
  <si>
    <t>ห้วยแม่มอก</t>
  </si>
  <si>
    <t>62+908</t>
  </si>
  <si>
    <t>63+734</t>
  </si>
  <si>
    <t>ห้วยแม่กองมอก</t>
  </si>
  <si>
    <t>65+369</t>
  </si>
  <si>
    <t>ห้วยริน</t>
  </si>
  <si>
    <t>70+389</t>
  </si>
  <si>
    <t>72+770</t>
  </si>
  <si>
    <t>ห้วยปาเทียว</t>
  </si>
  <si>
    <t>73+694</t>
  </si>
  <si>
    <t>ห้วยปากาว</t>
  </si>
  <si>
    <t>74+867</t>
  </si>
  <si>
    <t>ห้วยตึ</t>
  </si>
  <si>
    <t>75+017</t>
  </si>
  <si>
    <t>ห้วยหมื่นไชย</t>
  </si>
  <si>
    <t>77+733</t>
  </si>
  <si>
    <t>78+031</t>
  </si>
  <si>
    <t>ห้วยผา</t>
  </si>
  <si>
    <t>81+656</t>
  </si>
  <si>
    <t>ห้วยปากกอง</t>
  </si>
  <si>
    <t>81+990</t>
  </si>
  <si>
    <t>82+903</t>
  </si>
  <si>
    <t>83+163</t>
  </si>
  <si>
    <t>83+503</t>
  </si>
  <si>
    <t>84+395</t>
  </si>
  <si>
    <t>85+225</t>
  </si>
  <si>
    <t>ห้วยแล้ง</t>
  </si>
  <si>
    <t>85+704</t>
  </si>
  <si>
    <t>86+176</t>
  </si>
  <si>
    <t>ห้วยคา</t>
  </si>
  <si>
    <t>86+652</t>
  </si>
  <si>
    <t>87+010</t>
  </si>
  <si>
    <t>ห้วยฮอม</t>
  </si>
  <si>
    <t>87+549</t>
  </si>
  <si>
    <t>88+123</t>
  </si>
  <si>
    <t>88+762</t>
  </si>
  <si>
    <t>60+414 - 60+781
63+559 - 63+809
74+993 - 75+063</t>
  </si>
  <si>
    <t>39+102 - 39+129</t>
  </si>
  <si>
    <t>39+129 - 45+508
46+195 - 46+557
50+568 - 51+168
53+440 - 54+530
59+133 - 60+406
62+759 - 63+559
66+091 - 66+365
67+543 - 69+085
69+374 - 72+618
73+192 - 74+168
75+067 - 76+516</t>
  </si>
  <si>
    <t>87+152 - 87+287
90+509 - 90+899</t>
  </si>
  <si>
    <t>84+826 - 85+998
87+287 - 90+509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</si>
</sst>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00"/>
  </numFmts>
  <fonts count="17">
    <font>
      <sz val="11"/>
      <color theme="1"/>
      <name val="Calibri"/>
      <family val="2"/>
      <charset val="22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charset val="222"/>
      <scheme val="minor"/>
    </font>
    <font>
      <sz val="8"/>
      <name val="Calibri"/>
      <family val="2"/>
      <scheme val="minor"/>
    </font>
    <font>
      <sz val="8"/>
      <name val="Calibri"/>
      <family val="2"/>
      <charset val="222"/>
      <scheme val="minor"/>
    </font>
    <font>
      <sz val="8"/>
      <color theme="1"/>
      <name val="Calibri"/>
      <family val="2"/>
      <scheme val="minor"/>
    </font>
    <font>
      <b/>
      <sz val="11"/>
      <color theme="1"/>
      <name val="TH SarabunPSK"/>
      <family val="2"/>
    </font>
    <font>
      <b/>
      <sz val="12"/>
      <color rgb="FF000000"/>
      <name val="TH SarabunPSK"/>
      <family val="2"/>
    </font>
    <font>
      <b/>
      <sz val="16"/>
      <color theme="1"/>
      <name val="TH SarabunPSK"/>
      <family val="2"/>
    </font>
    <font>
      <b/>
      <sz val="14"/>
      <color theme="1"/>
      <name val="TH SarabunPSK"/>
      <family val="2"/>
    </font>
    <font>
      <sz val="14"/>
      <color theme="1"/>
      <name val="TH SarabunPSK"/>
      <family val="2"/>
    </font>
    <font>
      <u/>
      <sz val="11"/>
      <color theme="10"/>
      <name val="Calibri"/>
      <family val="2"/>
      <charset val="222"/>
      <scheme val="minor"/>
    </font>
    <font>
      <sz val="11"/>
      <color theme="1"/>
      <name val="TH SarabunPSK"/>
      <family val="2"/>
    </font>
    <font>
      <sz val="11"/>
      <color theme="1"/>
      <name val="Calibri"/>
      <family val="2"/>
      <scheme val="minor"/>
    </font>
    <font>
      <sz val="8.8000000000000007"/>
      <color rgb="FF333333"/>
      <name val="Arial"/>
      <family val="2"/>
    </font>
    <font>
      <sz val="8"/>
      <color indexed="8"/>
      <name val="Tahoma"/>
      <family val="2"/>
    </font>
    <font>
      <sz val="8"/>
      <color indexed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1" fillId="0" borderId="0" applyNumberFormat="0" applyFill="0" applyBorder="0" applyAlignment="0" applyProtection="0"/>
    <xf numFmtId="0" fontId="13" fillId="0" borderId="0"/>
  </cellStyleXfs>
  <cellXfs count="99">
    <xf numFmtId="0" fontId="0" fillId="0" borderId="0" xfId="0"/>
    <xf numFmtId="0" fontId="2" fillId="0" borderId="0" xfId="0" applyFont="1"/>
    <xf numFmtId="2" fontId="1" fillId="4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2" fontId="0" fillId="0" borderId="0" xfId="0" applyNumberFormat="1"/>
    <xf numFmtId="4" fontId="1" fillId="4" borderId="1" xfId="0" applyNumberFormat="1" applyFont="1" applyFill="1" applyBorder="1" applyAlignment="1">
      <alignment horizontal="center" vertical="center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0" fillId="2" borderId="0" xfId="0" applyFill="1"/>
    <xf numFmtId="0" fontId="0" fillId="2" borderId="1" xfId="0" applyFill="1" applyBorder="1"/>
    <xf numFmtId="0" fontId="1" fillId="0" borderId="0" xfId="0" applyFont="1"/>
    <xf numFmtId="0" fontId="7" fillId="2" borderId="0" xfId="0" applyFont="1" applyFill="1" applyAlignment="1">
      <alignment horizontal="center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2" fontId="9" fillId="0" borderId="8" xfId="0" applyNumberFormat="1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/>
    </xf>
    <xf numFmtId="2" fontId="9" fillId="2" borderId="1" xfId="0" applyNumberFormat="1" applyFont="1" applyFill="1" applyBorder="1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2" fontId="10" fillId="0" borderId="12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1" fillId="0" borderId="0" xfId="1"/>
    <xf numFmtId="0" fontId="5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2" fontId="5" fillId="2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10" fontId="2" fillId="0" borderId="0" xfId="0" applyNumberFormat="1" applyFont="1" applyAlignment="1">
      <alignment horizontal="center"/>
    </xf>
    <xf numFmtId="4" fontId="3" fillId="0" borderId="1" xfId="0" applyNumberFormat="1" applyFont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4" fillId="0" borderId="0" xfId="0" applyFont="1"/>
    <xf numFmtId="2" fontId="5" fillId="0" borderId="13" xfId="0" applyNumberFormat="1" applyFont="1" applyBorder="1" applyAlignment="1">
      <alignment horizontal="center"/>
    </xf>
    <xf numFmtId="2" fontId="5" fillId="0" borderId="4" xfId="0" applyNumberFormat="1" applyFont="1" applyBorder="1" applyAlignment="1">
      <alignment horizontal="center"/>
    </xf>
    <xf numFmtId="2" fontId="5" fillId="2" borderId="13" xfId="0" applyNumberFormat="1" applyFont="1" applyFill="1" applyBorder="1" applyAlignment="1">
      <alignment horizontal="center"/>
    </xf>
    <xf numFmtId="4" fontId="3" fillId="0" borderId="13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2" fontId="5" fillId="2" borderId="4" xfId="0" applyNumberFormat="1" applyFont="1" applyFill="1" applyBorder="1" applyAlignment="1">
      <alignment horizontal="center"/>
    </xf>
    <xf numFmtId="165" fontId="3" fillId="0" borderId="4" xfId="0" applyNumberFormat="1" applyFont="1" applyBorder="1" applyAlignment="1">
      <alignment horizontal="center" vertical="center"/>
    </xf>
    <xf numFmtId="0" fontId="6" fillId="3" borderId="15" xfId="0" applyFont="1" applyFill="1" applyBorder="1" applyAlignment="1">
      <alignment horizontal="center"/>
    </xf>
    <xf numFmtId="1" fontId="12" fillId="0" borderId="15" xfId="0" applyNumberFormat="1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1" fontId="5" fillId="0" borderId="15" xfId="0" applyNumberFormat="1" applyFont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4" fontId="1" fillId="2" borderId="15" xfId="0" applyNumberFormat="1" applyFont="1" applyFill="1" applyBorder="1" applyAlignment="1">
      <alignment horizontal="center"/>
    </xf>
    <xf numFmtId="0" fontId="1" fillId="7" borderId="15" xfId="0" applyFont="1" applyFill="1" applyBorder="1" applyAlignment="1">
      <alignment horizontal="center"/>
    </xf>
    <xf numFmtId="2" fontId="1" fillId="7" borderId="15" xfId="0" applyNumberFormat="1" applyFont="1" applyFill="1" applyBorder="1" applyAlignment="1">
      <alignment horizontal="center"/>
    </xf>
    <xf numFmtId="2" fontId="5" fillId="0" borderId="15" xfId="0" applyNumberFormat="1" applyFont="1" applyBorder="1" applyAlignment="1">
      <alignment horizontal="center"/>
    </xf>
    <xf numFmtId="164" fontId="5" fillId="0" borderId="15" xfId="2" applyNumberFormat="1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164" fontId="5" fillId="2" borderId="15" xfId="0" applyNumberFormat="1" applyFont="1" applyFill="1" applyBorder="1" applyAlignment="1">
      <alignment horizont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2" fontId="15" fillId="0" borderId="15" xfId="0" applyNumberFormat="1" applyFont="1" applyBorder="1" applyAlignment="1">
      <alignment horizontal="center" vertical="center"/>
    </xf>
    <xf numFmtId="164" fontId="5" fillId="0" borderId="15" xfId="0" applyNumberFormat="1" applyFont="1" applyBorder="1" applyAlignment="1">
      <alignment horizontal="center"/>
    </xf>
    <xf numFmtId="164" fontId="15" fillId="0" borderId="15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2" borderId="15" xfId="0" applyFont="1" applyFill="1" applyBorder="1" applyAlignment="1">
      <alignment horizontal="center"/>
    </xf>
    <xf numFmtId="1" fontId="5" fillId="0" borderId="15" xfId="0" applyNumberFormat="1" applyFont="1" applyBorder="1" applyAlignment="1">
      <alignment horizontal="center" vertical="center"/>
    </xf>
    <xf numFmtId="1" fontId="5" fillId="0" borderId="15" xfId="0" applyNumberFormat="1" applyFont="1" applyBorder="1" applyAlignment="1">
      <alignment horizontal="left"/>
    </xf>
    <xf numFmtId="0" fontId="5" fillId="0" borderId="15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1" fontId="5" fillId="0" borderId="1" xfId="0" applyNumberFormat="1" applyFont="1" applyBorder="1" applyAlignment="1">
      <alignment horizontal="left"/>
    </xf>
    <xf numFmtId="0" fontId="5" fillId="0" borderId="15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4" fontId="3" fillId="0" borderId="4" xfId="0" applyNumberFormat="1" applyFont="1" applyBorder="1" applyAlignment="1">
      <alignment horizontal="center" vertical="center"/>
    </xf>
    <xf numFmtId="0" fontId="5" fillId="0" borderId="15" xfId="0" applyFont="1" applyBorder="1" applyAlignment="1">
      <alignment horizontal="center" wrapText="1"/>
    </xf>
    <xf numFmtId="0" fontId="5" fillId="0" borderId="15" xfId="0" applyFont="1" applyBorder="1" applyAlignment="1">
      <alignment horizontal="center" vertical="center" wrapText="1"/>
    </xf>
    <xf numFmtId="1" fontId="12" fillId="0" borderId="15" xfId="0" applyNumberFormat="1" applyFont="1" applyBorder="1" applyAlignment="1">
      <alignment horizontal="left"/>
    </xf>
    <xf numFmtId="0" fontId="12" fillId="0" borderId="15" xfId="0" applyFont="1" applyBorder="1" applyAlignment="1">
      <alignment horizontal="left"/>
    </xf>
    <xf numFmtId="0" fontId="12" fillId="0" borderId="15" xfId="0" applyFont="1" applyBorder="1"/>
    <xf numFmtId="0" fontId="5" fillId="5" borderId="13" xfId="0" applyFont="1" applyFill="1" applyBorder="1" applyAlignment="1">
      <alignment horizontal="center"/>
    </xf>
    <xf numFmtId="0" fontId="5" fillId="5" borderId="14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2" fontId="1" fillId="4" borderId="1" xfId="0" applyNumberFormat="1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</cellXfs>
  <cellStyles count="3">
    <cellStyle name="Hyperlink" xfId="1" builtinId="8"/>
    <cellStyle name="Normal" xfId="0" builtinId="0"/>
    <cellStyle name="ปกติ 2" xfId="2" xr:uid="{C9D02941-5B88-4ED6-9CB7-2FD3A0B958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85725</xdr:rowOff>
    </xdr:from>
    <xdr:to>
      <xdr:col>32</xdr:col>
      <xdr:colOff>240951</xdr:colOff>
      <xdr:row>29</xdr:row>
      <xdr:rowOff>105363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570904-B0DE-5AE0-9933-A58E0D03BA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28750"/>
          <a:ext cx="20252976" cy="42106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dmr.go.th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2E04F-D44C-4351-B97B-5003B8D778FD}">
  <dimension ref="A1:M10"/>
  <sheetViews>
    <sheetView tabSelected="1" workbookViewId="0">
      <selection activeCell="F8" sqref="F8"/>
    </sheetView>
  </sheetViews>
  <sheetFormatPr defaultRowHeight="15"/>
  <cols>
    <col min="1" max="1" width="36.5703125" bestFit="1" customWidth="1"/>
    <col min="2" max="2" width="11.5703125" style="9" customWidth="1"/>
    <col min="3" max="3" width="12.5703125" style="9" customWidth="1"/>
    <col min="4" max="4" width="11.85546875" style="9" customWidth="1"/>
    <col min="5" max="5" width="15.7109375" customWidth="1"/>
    <col min="6" max="6" width="14.28515625" style="4" customWidth="1"/>
    <col min="7" max="7" width="14.28515625" style="10" customWidth="1"/>
    <col min="8" max="8" width="32.7109375" customWidth="1"/>
    <col min="9" max="9" width="13.140625" customWidth="1"/>
    <col min="10" max="10" width="12.42578125" customWidth="1"/>
    <col min="11" max="11" width="10.42578125" customWidth="1"/>
    <col min="12" max="12" width="16.7109375" customWidth="1"/>
    <col min="13" max="13" width="16.7109375" style="12" customWidth="1"/>
    <col min="14" max="14" width="19.7109375" customWidth="1"/>
  </cols>
  <sheetData>
    <row r="1" spans="1:13">
      <c r="A1" s="88" t="s">
        <v>6</v>
      </c>
      <c r="B1" s="87" t="s">
        <v>13</v>
      </c>
      <c r="C1" s="87"/>
      <c r="D1" s="87"/>
      <c r="E1" s="87"/>
      <c r="F1" s="87"/>
      <c r="H1" s="88" t="s">
        <v>9</v>
      </c>
      <c r="I1" s="87" t="s">
        <v>13</v>
      </c>
      <c r="J1" s="87"/>
      <c r="K1" s="87"/>
      <c r="L1" s="87"/>
      <c r="M1" s="87"/>
    </row>
    <row r="2" spans="1:13" ht="22.5">
      <c r="A2" s="88"/>
      <c r="B2" s="8" t="s">
        <v>10</v>
      </c>
      <c r="C2" s="8" t="s">
        <v>11</v>
      </c>
      <c r="D2" s="8" t="s">
        <v>12</v>
      </c>
      <c r="E2" s="2" t="s">
        <v>7</v>
      </c>
      <c r="F2" s="3" t="s">
        <v>8</v>
      </c>
      <c r="H2" s="88"/>
      <c r="I2" s="8" t="s">
        <v>10</v>
      </c>
      <c r="J2" s="8" t="s">
        <v>11</v>
      </c>
      <c r="K2" s="8" t="s">
        <v>12</v>
      </c>
      <c r="L2" s="2" t="s">
        <v>7</v>
      </c>
      <c r="M2" s="3" t="s">
        <v>8</v>
      </c>
    </row>
    <row r="3" spans="1:13" ht="77.25" customHeight="1">
      <c r="A3" s="63" t="s">
        <v>172</v>
      </c>
      <c r="B3" s="78">
        <f t="shared" ref="B3:B9" si="0">C3/1000000</f>
        <v>2.2893359999999999E-3</v>
      </c>
      <c r="C3" s="40">
        <v>2289.3359999999998</v>
      </c>
      <c r="D3" s="47">
        <f t="shared" ref="D3:D9" si="1">C3/1600</f>
        <v>1.4308349999999999</v>
      </c>
      <c r="E3" s="64" t="s">
        <v>263</v>
      </c>
      <c r="F3" s="65"/>
      <c r="G3" s="11"/>
      <c r="H3" s="34" t="s">
        <v>181</v>
      </c>
      <c r="I3" s="50">
        <f>J3/1000000</f>
        <v>0.20389470000000001</v>
      </c>
      <c r="J3" s="40">
        <v>203894.7</v>
      </c>
      <c r="K3" s="47">
        <f>J3/1600</f>
        <v>127.43418750000001</v>
      </c>
      <c r="L3" s="80" t="s">
        <v>194</v>
      </c>
      <c r="M3" s="61"/>
    </row>
    <row r="4" spans="1:13" ht="34.5">
      <c r="A4" s="63" t="s">
        <v>173</v>
      </c>
      <c r="B4" s="78">
        <f t="shared" si="0"/>
        <v>5.5570379999999996E-2</v>
      </c>
      <c r="C4" s="40">
        <v>55570.38</v>
      </c>
      <c r="D4" s="47">
        <f t="shared" si="1"/>
        <v>34.7314875</v>
      </c>
      <c r="E4" s="79" t="s">
        <v>262</v>
      </c>
      <c r="F4" s="66"/>
      <c r="G4" s="11"/>
      <c r="M4"/>
    </row>
    <row r="5" spans="1:13" ht="124.5">
      <c r="A5" s="68" t="s">
        <v>174</v>
      </c>
      <c r="B5" s="78">
        <f t="shared" si="0"/>
        <v>1.434884</v>
      </c>
      <c r="C5" s="40">
        <v>1434884</v>
      </c>
      <c r="D5" s="47">
        <f t="shared" si="1"/>
        <v>896.80250000000001</v>
      </c>
      <c r="E5" s="79" t="s">
        <v>264</v>
      </c>
      <c r="F5" s="67"/>
    </row>
    <row r="6" spans="1:13" ht="45.75">
      <c r="A6" s="63" t="s">
        <v>175</v>
      </c>
      <c r="B6" s="78">
        <f t="shared" si="0"/>
        <v>1.438564</v>
      </c>
      <c r="C6" s="40">
        <v>1438564</v>
      </c>
      <c r="D6" s="47">
        <f t="shared" si="1"/>
        <v>899.10249999999996</v>
      </c>
      <c r="E6" s="79" t="s">
        <v>179</v>
      </c>
      <c r="F6" s="67"/>
      <c r="M6"/>
    </row>
    <row r="7" spans="1:13" ht="23.25">
      <c r="A7" s="63" t="s">
        <v>176</v>
      </c>
      <c r="B7" s="78">
        <f t="shared" si="0"/>
        <v>4.244883E-2</v>
      </c>
      <c r="C7" s="40">
        <v>42448.83</v>
      </c>
      <c r="D7" s="47">
        <f t="shared" si="1"/>
        <v>26.530518750000002</v>
      </c>
      <c r="E7" s="79" t="s">
        <v>265</v>
      </c>
      <c r="F7" s="66"/>
      <c r="M7"/>
    </row>
    <row r="8" spans="1:13" ht="23.25">
      <c r="A8" s="68" t="s">
        <v>177</v>
      </c>
      <c r="B8" s="78">
        <f t="shared" si="0"/>
        <v>0.35074820000000001</v>
      </c>
      <c r="C8" s="40">
        <v>350748.2</v>
      </c>
      <c r="D8" s="47">
        <f t="shared" si="1"/>
        <v>219.217625</v>
      </c>
      <c r="E8" s="79" t="s">
        <v>266</v>
      </c>
      <c r="F8" s="67"/>
      <c r="M8"/>
    </row>
    <row r="9" spans="1:13">
      <c r="A9" s="63" t="s">
        <v>178</v>
      </c>
      <c r="B9" s="78">
        <f t="shared" si="0"/>
        <v>0.16104479999999999</v>
      </c>
      <c r="C9" s="40">
        <v>161044.79999999999</v>
      </c>
      <c r="D9" s="47">
        <f t="shared" si="1"/>
        <v>100.65299999999999</v>
      </c>
      <c r="E9" s="53" t="s">
        <v>180</v>
      </c>
      <c r="F9" s="67"/>
      <c r="M9"/>
    </row>
    <row r="10" spans="1:13">
      <c r="B10"/>
      <c r="C10"/>
      <c r="D10"/>
      <c r="F10"/>
    </row>
  </sheetData>
  <mergeCells count="4">
    <mergeCell ref="I1:M1"/>
    <mergeCell ref="A1:A2"/>
    <mergeCell ref="B1:F1"/>
    <mergeCell ref="H1:H2"/>
  </mergeCells>
  <phoneticPr fontId="4" type="noConversion"/>
  <pageMargins left="0.7" right="0.7" top="0.75" bottom="0.75" header="0.3" footer="0.3"/>
  <pageSetup paperSize="6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50244-E409-44C1-AADE-C778B23F0109}">
  <dimension ref="A1:G20"/>
  <sheetViews>
    <sheetView workbookViewId="0">
      <selection activeCell="C41" sqref="C41"/>
    </sheetView>
  </sheetViews>
  <sheetFormatPr defaultRowHeight="15"/>
  <cols>
    <col min="1" max="1" width="5.5703125" style="1" customWidth="1"/>
    <col min="2" max="2" width="13.28515625" customWidth="1"/>
    <col min="3" max="3" width="23.7109375" style="5" customWidth="1"/>
    <col min="4" max="4" width="11.5703125" style="5" customWidth="1"/>
    <col min="5" max="5" width="10.42578125" style="5" customWidth="1"/>
    <col min="6" max="6" width="11.42578125" style="5" customWidth="1"/>
    <col min="7" max="7" width="12.5703125" customWidth="1"/>
  </cols>
  <sheetData>
    <row r="1" spans="1:7">
      <c r="A1" s="84" t="s">
        <v>32</v>
      </c>
      <c r="B1" s="85"/>
      <c r="C1" s="85"/>
      <c r="D1" s="85"/>
      <c r="E1" s="85"/>
      <c r="F1" s="85"/>
      <c r="G1" s="86"/>
    </row>
    <row r="2" spans="1:7">
      <c r="A2" s="38" t="s">
        <v>5</v>
      </c>
      <c r="B2" s="70" t="s">
        <v>89</v>
      </c>
      <c r="C2" s="30" t="s">
        <v>0</v>
      </c>
      <c r="D2" s="30" t="s">
        <v>1</v>
      </c>
      <c r="E2" s="30" t="s">
        <v>2</v>
      </c>
      <c r="F2" s="30" t="s">
        <v>3</v>
      </c>
      <c r="G2" s="30" t="s">
        <v>4</v>
      </c>
    </row>
    <row r="3" spans="1:7">
      <c r="A3" s="53">
        <v>1</v>
      </c>
      <c r="B3" s="53" t="s">
        <v>98</v>
      </c>
      <c r="C3" s="54" t="s">
        <v>90</v>
      </c>
      <c r="D3" s="53"/>
      <c r="E3" s="54" t="s">
        <v>105</v>
      </c>
      <c r="F3" s="54" t="s">
        <v>106</v>
      </c>
      <c r="G3" s="71" t="s">
        <v>107</v>
      </c>
    </row>
    <row r="4" spans="1:7">
      <c r="A4" s="53">
        <v>2</v>
      </c>
      <c r="B4" s="53" t="s">
        <v>99</v>
      </c>
      <c r="C4" s="54" t="s">
        <v>91</v>
      </c>
      <c r="D4" s="53"/>
      <c r="E4" s="54" t="s">
        <v>108</v>
      </c>
      <c r="F4" s="54" t="s">
        <v>106</v>
      </c>
      <c r="G4" s="71" t="s">
        <v>107</v>
      </c>
    </row>
    <row r="5" spans="1:7">
      <c r="A5" s="53">
        <v>3</v>
      </c>
      <c r="B5" s="53" t="s">
        <v>100</v>
      </c>
      <c r="C5" s="54" t="s">
        <v>92</v>
      </c>
      <c r="D5" s="53"/>
      <c r="E5" s="54" t="s">
        <v>108</v>
      </c>
      <c r="F5" s="54" t="s">
        <v>106</v>
      </c>
      <c r="G5" s="71" t="s">
        <v>107</v>
      </c>
    </row>
    <row r="6" spans="1:7">
      <c r="A6" s="53">
        <v>4</v>
      </c>
      <c r="B6" s="53" t="s">
        <v>101</v>
      </c>
      <c r="C6" s="54" t="s">
        <v>93</v>
      </c>
      <c r="D6" s="53"/>
      <c r="E6" s="54" t="s">
        <v>109</v>
      </c>
      <c r="F6" s="54" t="s">
        <v>106</v>
      </c>
      <c r="G6" s="71" t="s">
        <v>107</v>
      </c>
    </row>
    <row r="7" spans="1:7">
      <c r="A7" s="53">
        <v>5</v>
      </c>
      <c r="B7" s="53" t="s">
        <v>102</v>
      </c>
      <c r="C7" s="54" t="s">
        <v>94</v>
      </c>
      <c r="D7" s="53"/>
      <c r="E7" s="54" t="s">
        <v>109</v>
      </c>
      <c r="F7" s="54" t="s">
        <v>106</v>
      </c>
      <c r="G7" s="71" t="s">
        <v>107</v>
      </c>
    </row>
    <row r="8" spans="1:7">
      <c r="A8" s="53">
        <v>6</v>
      </c>
      <c r="B8" s="53" t="s">
        <v>103</v>
      </c>
      <c r="C8" s="54" t="s">
        <v>95</v>
      </c>
      <c r="D8" s="53"/>
      <c r="E8" s="54" t="s">
        <v>110</v>
      </c>
      <c r="F8" s="54" t="s">
        <v>106</v>
      </c>
      <c r="G8" s="71" t="s">
        <v>107</v>
      </c>
    </row>
    <row r="9" spans="1:7">
      <c r="A9" s="53"/>
      <c r="B9" s="53" t="s">
        <v>104</v>
      </c>
      <c r="C9" s="53" t="s">
        <v>96</v>
      </c>
      <c r="D9" s="53"/>
      <c r="E9" s="53" t="s">
        <v>110</v>
      </c>
      <c r="F9" s="53" t="s">
        <v>106</v>
      </c>
      <c r="G9" s="69" t="s">
        <v>107</v>
      </c>
    </row>
    <row r="10" spans="1:7">
      <c r="A10" s="53"/>
      <c r="B10" s="53" t="s">
        <v>101</v>
      </c>
      <c r="C10" s="53" t="s">
        <v>97</v>
      </c>
      <c r="D10" s="53"/>
      <c r="E10" s="53" t="s">
        <v>110</v>
      </c>
      <c r="F10" s="53" t="s">
        <v>106</v>
      </c>
      <c r="G10" s="69" t="s">
        <v>107</v>
      </c>
    </row>
    <row r="11" spans="1:7">
      <c r="A11" s="6"/>
      <c r="B11" s="1"/>
      <c r="C11" s="6"/>
      <c r="D11" s="6"/>
      <c r="E11" s="6"/>
      <c r="F11" s="6"/>
    </row>
    <row r="12" spans="1:7">
      <c r="A12" s="6"/>
      <c r="B12" s="1"/>
      <c r="C12" s="6"/>
      <c r="D12" s="6"/>
      <c r="E12" s="6"/>
      <c r="F12" s="6"/>
    </row>
    <row r="13" spans="1:7">
      <c r="A13" s="6"/>
      <c r="B13" s="1"/>
      <c r="C13" s="6"/>
      <c r="D13" s="6"/>
      <c r="E13" s="6"/>
      <c r="F13" s="6"/>
    </row>
    <row r="14" spans="1:7">
      <c r="A14" s="6"/>
      <c r="B14" s="1"/>
      <c r="C14" s="6"/>
      <c r="D14" s="6"/>
      <c r="E14" s="6"/>
      <c r="F14" s="6"/>
    </row>
    <row r="15" spans="1:7">
      <c r="A15" s="6"/>
      <c r="B15" s="1"/>
      <c r="C15" s="6"/>
      <c r="D15" s="6"/>
      <c r="E15" s="6"/>
      <c r="F15" s="6"/>
    </row>
    <row r="16" spans="1:7">
      <c r="A16" s="6"/>
      <c r="B16" s="1"/>
      <c r="C16" s="6"/>
      <c r="D16" s="6"/>
      <c r="E16" s="6"/>
      <c r="F16" s="6"/>
    </row>
    <row r="17" spans="1:6">
      <c r="A17" s="6"/>
      <c r="B17" s="1"/>
      <c r="C17" s="6"/>
      <c r="D17" s="6"/>
      <c r="E17" s="6"/>
      <c r="F17" s="6"/>
    </row>
    <row r="18" spans="1:6">
      <c r="A18" s="6"/>
      <c r="B18" s="1"/>
      <c r="C18" s="6"/>
      <c r="D18" s="6"/>
      <c r="E18" s="6"/>
      <c r="F18" s="6"/>
    </row>
    <row r="19" spans="1:6">
      <c r="A19" s="6"/>
      <c r="B19" s="1"/>
      <c r="C19" s="6"/>
      <c r="D19" s="6"/>
      <c r="E19" s="14"/>
      <c r="F19" s="6"/>
    </row>
    <row r="20" spans="1:6">
      <c r="D20" s="6"/>
    </row>
  </sheetData>
  <mergeCells count="1">
    <mergeCell ref="A1:G1"/>
  </mergeCells>
  <phoneticPr fontId="4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EEECB-A874-4930-ADFA-B49411AA43DF}">
  <dimension ref="A1:F36"/>
  <sheetViews>
    <sheetView workbookViewId="0">
      <selection activeCell="H27" sqref="H27"/>
    </sheetView>
  </sheetViews>
  <sheetFormatPr defaultRowHeight="15"/>
  <cols>
    <col min="2" max="2" width="68.28515625" customWidth="1"/>
    <col min="4" max="4" width="14.42578125" customWidth="1"/>
    <col min="5" max="5" width="16.7109375" customWidth="1"/>
    <col min="6" max="6" width="14.140625" customWidth="1"/>
    <col min="7" max="7" width="10.5703125" bestFit="1" customWidth="1"/>
  </cols>
  <sheetData>
    <row r="1" spans="1:6">
      <c r="A1" s="89" t="s">
        <v>33</v>
      </c>
      <c r="B1" s="89"/>
      <c r="C1" s="89"/>
      <c r="D1" s="89"/>
      <c r="E1" s="89"/>
      <c r="F1" s="89"/>
    </row>
    <row r="2" spans="1:6">
      <c r="A2" s="38" t="s">
        <v>5</v>
      </c>
      <c r="B2" s="30" t="s">
        <v>59</v>
      </c>
      <c r="C2" s="30"/>
      <c r="D2" s="30" t="s">
        <v>2</v>
      </c>
      <c r="E2" s="30" t="s">
        <v>3</v>
      </c>
      <c r="F2" s="30" t="s">
        <v>4</v>
      </c>
    </row>
    <row r="3" spans="1:6">
      <c r="A3" s="53">
        <v>1</v>
      </c>
      <c r="B3" s="72" t="s">
        <v>111</v>
      </c>
      <c r="C3" s="72"/>
      <c r="D3" s="72" t="s">
        <v>123</v>
      </c>
      <c r="E3" s="72" t="s">
        <v>124</v>
      </c>
      <c r="F3" s="72" t="s">
        <v>125</v>
      </c>
    </row>
    <row r="4" spans="1:6">
      <c r="A4" s="53">
        <v>2</v>
      </c>
      <c r="B4" s="72" t="s">
        <v>112</v>
      </c>
      <c r="C4" s="73"/>
      <c r="D4" s="72" t="s">
        <v>123</v>
      </c>
      <c r="E4" s="72" t="s">
        <v>124</v>
      </c>
      <c r="F4" s="72" t="s">
        <v>125</v>
      </c>
    </row>
    <row r="5" spans="1:6">
      <c r="A5" s="53">
        <v>3</v>
      </c>
      <c r="B5" s="72" t="s">
        <v>113</v>
      </c>
      <c r="C5" s="73"/>
      <c r="D5" s="72" t="s">
        <v>123</v>
      </c>
      <c r="E5" s="72" t="s">
        <v>124</v>
      </c>
      <c r="F5" s="72" t="s">
        <v>125</v>
      </c>
    </row>
    <row r="6" spans="1:6">
      <c r="A6" s="53">
        <v>4</v>
      </c>
      <c r="B6" s="72" t="s">
        <v>114</v>
      </c>
      <c r="C6" s="73"/>
      <c r="D6" s="72" t="s">
        <v>126</v>
      </c>
      <c r="E6" s="72" t="s">
        <v>124</v>
      </c>
      <c r="F6" s="72" t="s">
        <v>125</v>
      </c>
    </row>
    <row r="7" spans="1:6">
      <c r="A7" s="53">
        <v>5</v>
      </c>
      <c r="B7" s="72" t="s">
        <v>115</v>
      </c>
      <c r="C7" s="73"/>
      <c r="D7" s="72" t="s">
        <v>126</v>
      </c>
      <c r="E7" s="72" t="s">
        <v>124</v>
      </c>
      <c r="F7" s="72" t="s">
        <v>125</v>
      </c>
    </row>
    <row r="8" spans="1:6">
      <c r="A8" s="53">
        <v>6</v>
      </c>
      <c r="B8" s="72" t="s">
        <v>116</v>
      </c>
      <c r="C8" s="73"/>
      <c r="D8" s="72" t="s">
        <v>123</v>
      </c>
      <c r="E8" s="72" t="s">
        <v>124</v>
      </c>
      <c r="F8" s="72" t="s">
        <v>125</v>
      </c>
    </row>
    <row r="9" spans="1:6">
      <c r="A9" s="53">
        <v>7</v>
      </c>
      <c r="B9" s="72" t="s">
        <v>117</v>
      </c>
      <c r="C9" s="73"/>
      <c r="D9" s="72" t="s">
        <v>123</v>
      </c>
      <c r="E9" s="72" t="s">
        <v>124</v>
      </c>
      <c r="F9" s="72" t="s">
        <v>125</v>
      </c>
    </row>
    <row r="10" spans="1:6">
      <c r="A10" s="53">
        <v>8</v>
      </c>
      <c r="B10" s="72" t="s">
        <v>118</v>
      </c>
      <c r="C10" s="73"/>
      <c r="D10" s="72" t="s">
        <v>123</v>
      </c>
      <c r="E10" s="72" t="s">
        <v>124</v>
      </c>
      <c r="F10" s="72" t="s">
        <v>125</v>
      </c>
    </row>
    <row r="11" spans="1:6">
      <c r="A11" s="53">
        <v>9</v>
      </c>
      <c r="B11" s="72" t="s">
        <v>119</v>
      </c>
      <c r="C11" s="73"/>
      <c r="D11" s="72" t="s">
        <v>123</v>
      </c>
      <c r="E11" s="72" t="s">
        <v>124</v>
      </c>
      <c r="F11" s="72" t="s">
        <v>125</v>
      </c>
    </row>
    <row r="12" spans="1:6">
      <c r="A12" s="53">
        <v>10</v>
      </c>
      <c r="B12" s="72" t="s">
        <v>120</v>
      </c>
      <c r="C12" s="73"/>
      <c r="D12" s="72" t="s">
        <v>126</v>
      </c>
      <c r="E12" s="72" t="s">
        <v>124</v>
      </c>
      <c r="F12" s="72" t="s">
        <v>125</v>
      </c>
    </row>
    <row r="13" spans="1:6">
      <c r="A13" s="53">
        <v>11</v>
      </c>
      <c r="B13" s="72" t="s">
        <v>121</v>
      </c>
      <c r="C13" s="73"/>
      <c r="D13" s="72" t="s">
        <v>127</v>
      </c>
      <c r="E13" s="72" t="s">
        <v>124</v>
      </c>
      <c r="F13" s="72" t="s">
        <v>125</v>
      </c>
    </row>
    <row r="14" spans="1:6">
      <c r="A14" s="53">
        <v>12</v>
      </c>
      <c r="B14" s="72" t="s">
        <v>122</v>
      </c>
      <c r="C14" s="73"/>
      <c r="D14" s="72" t="s">
        <v>127</v>
      </c>
      <c r="E14" s="72" t="s">
        <v>124</v>
      </c>
      <c r="F14" s="72" t="s">
        <v>125</v>
      </c>
    </row>
    <row r="18" spans="1:6">
      <c r="A18" s="90" t="s">
        <v>34</v>
      </c>
      <c r="B18" s="91"/>
      <c r="C18" s="91"/>
      <c r="D18" s="91"/>
      <c r="E18" s="91"/>
      <c r="F18" s="92"/>
    </row>
    <row r="19" spans="1:6">
      <c r="A19" s="38" t="s">
        <v>5</v>
      </c>
      <c r="B19" s="30" t="s">
        <v>60</v>
      </c>
      <c r="C19" s="30"/>
      <c r="D19" s="30" t="s">
        <v>2</v>
      </c>
      <c r="E19" s="30" t="s">
        <v>3</v>
      </c>
      <c r="F19" s="30" t="s">
        <v>4</v>
      </c>
    </row>
    <row r="20" spans="1:6">
      <c r="A20" s="53">
        <v>1</v>
      </c>
      <c r="B20" s="72" t="s">
        <v>128</v>
      </c>
      <c r="C20" s="72"/>
      <c r="D20" s="72" t="s">
        <v>126</v>
      </c>
      <c r="E20" s="72" t="s">
        <v>124</v>
      </c>
      <c r="F20" s="72" t="s">
        <v>125</v>
      </c>
    </row>
    <row r="21" spans="1:6">
      <c r="A21" s="53">
        <v>2</v>
      </c>
      <c r="B21" s="72" t="s">
        <v>129</v>
      </c>
      <c r="C21" s="72"/>
      <c r="D21" s="72" t="s">
        <v>123</v>
      </c>
      <c r="E21" s="72" t="s">
        <v>124</v>
      </c>
      <c r="F21" s="72" t="s">
        <v>125</v>
      </c>
    </row>
    <row r="22" spans="1:6">
      <c r="A22" s="53">
        <v>3</v>
      </c>
      <c r="B22" s="72" t="s">
        <v>130</v>
      </c>
      <c r="C22" s="72"/>
      <c r="D22" s="72" t="s">
        <v>126</v>
      </c>
      <c r="E22" s="72" t="s">
        <v>124</v>
      </c>
      <c r="F22" s="72" t="s">
        <v>125</v>
      </c>
    </row>
    <row r="23" spans="1:6">
      <c r="A23" s="53">
        <v>4</v>
      </c>
      <c r="B23" s="72" t="s">
        <v>131</v>
      </c>
      <c r="C23" s="72"/>
      <c r="D23" s="72" t="s">
        <v>123</v>
      </c>
      <c r="E23" s="72" t="s">
        <v>124</v>
      </c>
      <c r="F23" s="72" t="s">
        <v>125</v>
      </c>
    </row>
    <row r="24" spans="1:6">
      <c r="A24" s="53">
        <v>5</v>
      </c>
      <c r="B24" s="72" t="s">
        <v>132</v>
      </c>
      <c r="C24" s="72"/>
      <c r="D24" s="72" t="s">
        <v>123</v>
      </c>
      <c r="E24" s="72" t="s">
        <v>124</v>
      </c>
      <c r="F24" s="72" t="s">
        <v>125</v>
      </c>
    </row>
    <row r="25" spans="1:6">
      <c r="A25" s="53">
        <v>6</v>
      </c>
      <c r="B25" s="72" t="s">
        <v>133</v>
      </c>
      <c r="C25" s="72"/>
      <c r="D25" s="72" t="s">
        <v>123</v>
      </c>
      <c r="E25" s="72" t="s">
        <v>124</v>
      </c>
      <c r="F25" s="72" t="s">
        <v>125</v>
      </c>
    </row>
    <row r="26" spans="1:6">
      <c r="A26" s="53">
        <v>7</v>
      </c>
      <c r="B26" s="72" t="s">
        <v>134</v>
      </c>
      <c r="C26" s="72"/>
      <c r="D26" s="72" t="s">
        <v>127</v>
      </c>
      <c r="E26" s="72" t="s">
        <v>124</v>
      </c>
      <c r="F26" s="72" t="s">
        <v>125</v>
      </c>
    </row>
    <row r="27" spans="1:6">
      <c r="A27" s="53">
        <v>8</v>
      </c>
      <c r="B27" s="72" t="s">
        <v>135</v>
      </c>
      <c r="C27" s="72"/>
      <c r="D27" s="72" t="s">
        <v>126</v>
      </c>
      <c r="E27" s="72" t="s">
        <v>124</v>
      </c>
      <c r="F27" s="72" t="s">
        <v>125</v>
      </c>
    </row>
    <row r="31" spans="1:6">
      <c r="A31" s="84" t="s">
        <v>35</v>
      </c>
      <c r="B31" s="85"/>
      <c r="C31" s="85"/>
      <c r="D31" s="85"/>
      <c r="E31" s="85"/>
      <c r="F31" s="86"/>
    </row>
    <row r="32" spans="1:6">
      <c r="A32" s="38" t="s">
        <v>5</v>
      </c>
      <c r="B32" s="30" t="s">
        <v>61</v>
      </c>
      <c r="C32" s="30"/>
      <c r="D32" s="30" t="s">
        <v>2</v>
      </c>
      <c r="E32" s="30" t="s">
        <v>3</v>
      </c>
      <c r="F32" s="30" t="s">
        <v>4</v>
      </c>
    </row>
    <row r="33" spans="1:6">
      <c r="A33" s="32">
        <v>1</v>
      </c>
      <c r="B33" s="73" t="s">
        <v>136</v>
      </c>
      <c r="C33" s="73"/>
      <c r="D33" s="72" t="s">
        <v>123</v>
      </c>
      <c r="E33" s="72" t="s">
        <v>124</v>
      </c>
      <c r="F33" s="72" t="s">
        <v>125</v>
      </c>
    </row>
    <row r="34" spans="1:6">
      <c r="A34" s="32">
        <v>2</v>
      </c>
      <c r="B34" s="73" t="s">
        <v>137</v>
      </c>
      <c r="C34" s="73"/>
      <c r="D34" s="72" t="s">
        <v>126</v>
      </c>
      <c r="E34" s="72" t="s">
        <v>124</v>
      </c>
      <c r="F34" s="72" t="s">
        <v>125</v>
      </c>
    </row>
    <row r="35" spans="1:6">
      <c r="A35" s="32">
        <v>3</v>
      </c>
      <c r="B35" s="73" t="s">
        <v>138</v>
      </c>
      <c r="C35" s="73"/>
      <c r="D35" s="73" t="s">
        <v>123</v>
      </c>
      <c r="E35" s="73" t="s">
        <v>124</v>
      </c>
      <c r="F35" s="73" t="s">
        <v>125</v>
      </c>
    </row>
    <row r="36" spans="1:6">
      <c r="A36" s="32">
        <v>4</v>
      </c>
      <c r="B36" s="73" t="s">
        <v>139</v>
      </c>
      <c r="C36" s="73"/>
      <c r="D36" s="73" t="s">
        <v>123</v>
      </c>
      <c r="E36" s="73" t="s">
        <v>124</v>
      </c>
      <c r="F36" s="73" t="s">
        <v>125</v>
      </c>
    </row>
  </sheetData>
  <mergeCells count="3">
    <mergeCell ref="A1:F1"/>
    <mergeCell ref="A18:F18"/>
    <mergeCell ref="A31:F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67166-B078-4953-86BA-7C5CF7D1AF77}">
  <dimension ref="A1:D57"/>
  <sheetViews>
    <sheetView zoomScaleNormal="100" workbookViewId="0">
      <selection activeCell="H54" sqref="H54"/>
    </sheetView>
  </sheetViews>
  <sheetFormatPr defaultRowHeight="15"/>
  <cols>
    <col min="1" max="1" width="34.5703125" customWidth="1"/>
    <col min="2" max="2" width="14.5703125" customWidth="1"/>
    <col min="3" max="3" width="17.7109375" bestFit="1" customWidth="1"/>
    <col min="4" max="4" width="10.42578125" customWidth="1"/>
    <col min="6" max="6" width="19.42578125" customWidth="1"/>
  </cols>
  <sheetData>
    <row r="1" spans="1:4">
      <c r="A1" s="55" t="s">
        <v>38</v>
      </c>
      <c r="B1" s="56" t="s">
        <v>23</v>
      </c>
      <c r="C1" s="56" t="s">
        <v>12</v>
      </c>
      <c r="D1" s="56" t="s">
        <v>24</v>
      </c>
    </row>
    <row r="2" spans="1:4">
      <c r="A2" s="57" t="s">
        <v>25</v>
      </c>
      <c r="B2" s="58">
        <f>SUM(B3:B32)</f>
        <v>15.250994346237174</v>
      </c>
      <c r="C2" s="58">
        <f>SUM(C3:C32)</f>
        <v>9531.8714663982337</v>
      </c>
      <c r="D2" s="58">
        <f>C2*100/C57</f>
        <v>29.48155277790422</v>
      </c>
    </row>
    <row r="3" spans="1:4">
      <c r="A3" s="72" t="s">
        <v>140</v>
      </c>
      <c r="B3" s="59">
        <f>SUM(C3*0.0016)</f>
        <v>5.217093505859375E-2</v>
      </c>
      <c r="C3" s="59">
        <v>32.606834411621094</v>
      </c>
      <c r="D3" s="59">
        <f t="shared" ref="D3:D10" si="0">C3*100/$C$57</f>
        <v>0.10085114061969544</v>
      </c>
    </row>
    <row r="4" spans="1:4">
      <c r="A4" s="72" t="s">
        <v>73</v>
      </c>
      <c r="B4" s="59">
        <f>SUM(C4*0.0016)</f>
        <v>4.0447191406249923</v>
      </c>
      <c r="C4" s="59">
        <v>2527.94946289062</v>
      </c>
      <c r="D4" s="59">
        <f t="shared" si="0"/>
        <v>7.8188082762981237</v>
      </c>
    </row>
    <row r="5" spans="1:4">
      <c r="A5" s="72" t="s">
        <v>74</v>
      </c>
      <c r="B5" s="59">
        <f t="shared" ref="B5:B56" si="1">SUM(C5*0.0016)</f>
        <v>0.27678708496093751</v>
      </c>
      <c r="C5" s="59">
        <v>172.99192810058594</v>
      </c>
      <c r="D5" s="59">
        <f t="shared" si="0"/>
        <v>0.53505449338334166</v>
      </c>
    </row>
    <row r="6" spans="1:4">
      <c r="A6" s="72" t="s">
        <v>141</v>
      </c>
      <c r="B6" s="59">
        <f t="shared" si="1"/>
        <v>1.9761210632324219E-2</v>
      </c>
      <c r="C6" s="59">
        <v>12.350756645202637</v>
      </c>
      <c r="D6" s="59">
        <f t="shared" si="0"/>
        <v>3.8200209178878182E-2</v>
      </c>
    </row>
    <row r="7" spans="1:4">
      <c r="A7" s="72" t="s">
        <v>142</v>
      </c>
      <c r="B7" s="59">
        <f t="shared" si="1"/>
        <v>0.57980830078125001</v>
      </c>
      <c r="C7" s="59">
        <v>362.38018798828125</v>
      </c>
      <c r="D7" s="59">
        <f t="shared" si="0"/>
        <v>1.1208219367523957</v>
      </c>
    </row>
    <row r="8" spans="1:4">
      <c r="A8" s="72" t="s">
        <v>80</v>
      </c>
      <c r="B8" s="59">
        <f t="shared" si="1"/>
        <v>0.42976611328125003</v>
      </c>
      <c r="C8" s="59">
        <v>268.60382080078125</v>
      </c>
      <c r="D8" s="59">
        <f t="shared" si="0"/>
        <v>0.83077680466008463</v>
      </c>
    </row>
    <row r="9" spans="1:4">
      <c r="A9" s="72" t="s">
        <v>79</v>
      </c>
      <c r="B9" s="59">
        <f t="shared" si="1"/>
        <v>1.3220544921875002</v>
      </c>
      <c r="C9" s="59">
        <v>826.2840576171875</v>
      </c>
      <c r="D9" s="59">
        <f t="shared" si="0"/>
        <v>2.5556510219484552</v>
      </c>
    </row>
    <row r="10" spans="1:4">
      <c r="A10" s="72" t="s">
        <v>66</v>
      </c>
      <c r="B10" s="59">
        <f t="shared" si="1"/>
        <v>7.9739196777343757E-2</v>
      </c>
      <c r="C10" s="59">
        <v>49.836997985839844</v>
      </c>
      <c r="D10" s="59">
        <f t="shared" si="0"/>
        <v>0.15414308633843035</v>
      </c>
    </row>
    <row r="11" spans="1:4">
      <c r="A11" s="72" t="s">
        <v>71</v>
      </c>
      <c r="B11" s="59">
        <f t="shared" si="1"/>
        <v>3.0503280639648439E-2</v>
      </c>
      <c r="C11" s="59">
        <v>19.064550399780273</v>
      </c>
      <c r="D11" s="59">
        <f t="shared" ref="D11:D21" si="2">C11*100/$C$57</f>
        <v>5.8965603006658825E-2</v>
      </c>
    </row>
    <row r="12" spans="1:4">
      <c r="A12" s="72" t="s">
        <v>78</v>
      </c>
      <c r="B12" s="59">
        <f t="shared" si="1"/>
        <v>0.54322070312500004</v>
      </c>
      <c r="C12" s="59">
        <v>339.512939453125</v>
      </c>
      <c r="D12" s="59">
        <f t="shared" si="2"/>
        <v>1.0500947981258186</v>
      </c>
    </row>
    <row r="13" spans="1:4">
      <c r="A13" s="72" t="s">
        <v>77</v>
      </c>
      <c r="B13" s="59">
        <f t="shared" si="1"/>
        <v>6.2671085937500006</v>
      </c>
      <c r="C13" s="59">
        <v>3916.94287109375</v>
      </c>
      <c r="D13" s="59">
        <f t="shared" si="2"/>
        <v>12.11488828707644</v>
      </c>
    </row>
    <row r="14" spans="1:4">
      <c r="A14" s="72" t="s">
        <v>143</v>
      </c>
      <c r="B14" s="59">
        <f t="shared" si="1"/>
        <v>9.7065681457519544E-3</v>
      </c>
      <c r="C14" s="59">
        <v>6.0666050910949707</v>
      </c>
      <c r="D14" s="59">
        <f t="shared" si="2"/>
        <v>1.8763674983061977E-2</v>
      </c>
    </row>
    <row r="15" spans="1:4">
      <c r="A15" s="72" t="s">
        <v>144</v>
      </c>
      <c r="B15" s="59">
        <f t="shared" si="1"/>
        <v>5.0317510986328126E-2</v>
      </c>
      <c r="C15" s="59">
        <v>31.448444366455078</v>
      </c>
      <c r="D15" s="59">
        <f t="shared" si="2"/>
        <v>9.7268304093379443E-2</v>
      </c>
    </row>
    <row r="16" spans="1:4">
      <c r="A16" s="72" t="s">
        <v>145</v>
      </c>
      <c r="B16" s="59">
        <f t="shared" si="1"/>
        <v>1.5521812438964845E-2</v>
      </c>
      <c r="C16" s="59">
        <v>9.7011327743530273</v>
      </c>
      <c r="D16" s="59">
        <f t="shared" si="2"/>
        <v>3.0005068668914441E-2</v>
      </c>
    </row>
    <row r="17" spans="1:4">
      <c r="A17" s="72" t="s">
        <v>146</v>
      </c>
      <c r="B17" s="59">
        <f t="shared" si="1"/>
        <v>6.6843872070312504E-2</v>
      </c>
      <c r="C17" s="59">
        <v>41.777420043945313</v>
      </c>
      <c r="D17" s="59">
        <f t="shared" si="2"/>
        <v>0.12921525623715219</v>
      </c>
    </row>
    <row r="18" spans="1:4">
      <c r="A18" s="72" t="s">
        <v>147</v>
      </c>
      <c r="B18" s="59">
        <f t="shared" si="1"/>
        <v>6.4654498291015633E-2</v>
      </c>
      <c r="C18" s="59">
        <v>40.409061431884766</v>
      </c>
      <c r="D18" s="59">
        <f t="shared" si="2"/>
        <v>0.12498299851286646</v>
      </c>
    </row>
    <row r="19" spans="1:4">
      <c r="A19" s="72" t="s">
        <v>148</v>
      </c>
      <c r="B19" s="59">
        <f t="shared" si="1"/>
        <v>6.679718017578125E-3</v>
      </c>
      <c r="C19" s="59">
        <v>4.1748237609863281</v>
      </c>
      <c r="D19" s="59">
        <f t="shared" si="2"/>
        <v>1.2912499657790165E-2</v>
      </c>
    </row>
    <row r="20" spans="1:4">
      <c r="A20" s="72" t="s">
        <v>87</v>
      </c>
      <c r="B20" s="59">
        <f t="shared" si="1"/>
        <v>6.0662811279296881E-2</v>
      </c>
      <c r="C20" s="59">
        <v>37.914257049560547</v>
      </c>
      <c r="D20" s="59">
        <f t="shared" si="2"/>
        <v>0.11726670614286133</v>
      </c>
    </row>
    <row r="21" spans="1:4">
      <c r="A21" s="72" t="s">
        <v>149</v>
      </c>
      <c r="B21" s="59">
        <f t="shared" si="1"/>
        <v>9.4512603759765626E-2</v>
      </c>
      <c r="C21" s="59">
        <v>59.070377349853516</v>
      </c>
      <c r="D21" s="59">
        <f t="shared" si="2"/>
        <v>0.18270141950502741</v>
      </c>
    </row>
    <row r="22" spans="1:4">
      <c r="A22" s="72" t="s">
        <v>150</v>
      </c>
      <c r="B22" s="59">
        <f t="shared" si="1"/>
        <v>6.0886539459228516E-3</v>
      </c>
      <c r="C22" s="59">
        <v>3.8054087162017822</v>
      </c>
      <c r="D22" s="59">
        <f t="shared" ref="D22:D32" si="3">C22*100/$C$57</f>
        <v>1.176991929692817E-2</v>
      </c>
    </row>
    <row r="23" spans="1:4">
      <c r="A23" s="72" t="s">
        <v>56</v>
      </c>
      <c r="B23" s="59">
        <f t="shared" si="1"/>
        <v>5.359868774414063E-2</v>
      </c>
      <c r="C23" s="59">
        <v>33.499179840087891</v>
      </c>
      <c r="D23" s="59">
        <f t="shared" si="3"/>
        <v>0.10361111581850141</v>
      </c>
    </row>
    <row r="24" spans="1:4">
      <c r="A24" s="72" t="s">
        <v>151</v>
      </c>
      <c r="B24" s="59">
        <f t="shared" si="1"/>
        <v>0.19249694824218752</v>
      </c>
      <c r="C24" s="59">
        <v>120.31059265136719</v>
      </c>
      <c r="D24" s="59">
        <f t="shared" si="3"/>
        <v>0.37211402813140171</v>
      </c>
    </row>
    <row r="25" spans="1:4">
      <c r="A25" s="72" t="s">
        <v>152</v>
      </c>
      <c r="B25" s="59">
        <f t="shared" si="1"/>
        <v>2.9092636108398438E-2</v>
      </c>
      <c r="C25" s="59">
        <v>18.182897567749023</v>
      </c>
      <c r="D25" s="59">
        <f t="shared" si="3"/>
        <v>5.6238699418948185E-2</v>
      </c>
    </row>
    <row r="26" spans="1:4">
      <c r="A26" s="72" t="s">
        <v>153</v>
      </c>
      <c r="B26" s="59">
        <f t="shared" si="1"/>
        <v>6.426929931640625E-2</v>
      </c>
      <c r="C26" s="59">
        <v>40.168312072753906</v>
      </c>
      <c r="D26" s="59">
        <f t="shared" si="3"/>
        <v>0.12423837402202184</v>
      </c>
    </row>
    <row r="27" spans="1:4">
      <c r="A27" s="72" t="s">
        <v>76</v>
      </c>
      <c r="B27" s="59">
        <f t="shared" si="1"/>
        <v>4.4147640991210942E-2</v>
      </c>
      <c r="C27" s="59">
        <v>27.592275619506836</v>
      </c>
      <c r="D27" s="59">
        <f t="shared" si="3"/>
        <v>8.534138682068805E-2</v>
      </c>
    </row>
    <row r="28" spans="1:4">
      <c r="A28" s="72" t="s">
        <v>154</v>
      </c>
      <c r="B28" s="59">
        <f t="shared" si="1"/>
        <v>1.35792724609375E-2</v>
      </c>
      <c r="C28" s="59">
        <v>8.4870452880859375</v>
      </c>
      <c r="D28" s="59">
        <f t="shared" si="3"/>
        <v>2.6249963028898787E-2</v>
      </c>
    </row>
    <row r="29" spans="1:4">
      <c r="A29" s="72" t="s">
        <v>75</v>
      </c>
      <c r="B29" s="59">
        <f t="shared" si="1"/>
        <v>0.10279669189453125</v>
      </c>
      <c r="C29" s="59">
        <v>64.247932434082031</v>
      </c>
      <c r="D29" s="59">
        <f t="shared" si="3"/>
        <v>0.19871531184655597</v>
      </c>
    </row>
    <row r="30" spans="1:4">
      <c r="A30" s="72" t="s">
        <v>155</v>
      </c>
      <c r="B30" s="59">
        <f t="shared" si="1"/>
        <v>2.7586499023437502E-2</v>
      </c>
      <c r="C30" s="59">
        <v>17.241561889648438</v>
      </c>
      <c r="D30" s="59">
        <f t="shared" si="3"/>
        <v>5.3327200079759843E-2</v>
      </c>
    </row>
    <row r="31" spans="1:4">
      <c r="A31" s="72" t="s">
        <v>156</v>
      </c>
      <c r="B31" s="59">
        <f t="shared" si="1"/>
        <v>0.67081831054687502</v>
      </c>
      <c r="C31" s="59">
        <v>419.26144409179688</v>
      </c>
      <c r="D31" s="59">
        <f t="shared" si="3"/>
        <v>1.2967525249690814</v>
      </c>
    </row>
    <row r="32" spans="1:4">
      <c r="A32" s="72" t="s">
        <v>157</v>
      </c>
      <c r="B32" s="59">
        <f t="shared" si="1"/>
        <v>3.1981259155273438E-2</v>
      </c>
      <c r="C32" s="59">
        <v>19.988286972045898</v>
      </c>
      <c r="D32" s="59">
        <f t="shared" si="3"/>
        <v>6.1822669282062544E-2</v>
      </c>
    </row>
    <row r="33" spans="1:4">
      <c r="A33" s="57" t="s">
        <v>26</v>
      </c>
      <c r="B33" s="58">
        <f>SUM(B34:B35)</f>
        <v>27.919953686523439</v>
      </c>
      <c r="C33" s="58">
        <f>SUM(C34:C35)</f>
        <v>17449.971054077148</v>
      </c>
      <c r="D33" s="58">
        <f>C33*100/C57</f>
        <v>53.971798131901394</v>
      </c>
    </row>
    <row r="34" spans="1:4">
      <c r="A34" s="72" t="s">
        <v>82</v>
      </c>
      <c r="B34" s="59">
        <f t="shared" si="1"/>
        <v>7.4456811523437499E-2</v>
      </c>
      <c r="C34" s="59">
        <v>46.535507202148438</v>
      </c>
      <c r="D34" s="59">
        <f>C34*100/$C$57</f>
        <v>0.14393175741647823</v>
      </c>
    </row>
    <row r="35" spans="1:4">
      <c r="A35" s="72" t="s">
        <v>81</v>
      </c>
      <c r="B35" s="59">
        <f t="shared" si="1"/>
        <v>27.845496875000002</v>
      </c>
      <c r="C35" s="59">
        <v>17403.435546875</v>
      </c>
      <c r="D35" s="59">
        <f>C35*100/$C$57</f>
        <v>53.82786637448492</v>
      </c>
    </row>
    <row r="36" spans="1:4">
      <c r="A36" s="57" t="s">
        <v>27</v>
      </c>
      <c r="B36" s="58">
        <f>SUM(B37:B42)</f>
        <v>0.36038869476318364</v>
      </c>
      <c r="C36" s="58">
        <f>SUM(C37:C42)</f>
        <v>225.24293422698975</v>
      </c>
      <c r="D36" s="58">
        <f>C36*100/C57</f>
        <v>0.6966639737717979</v>
      </c>
    </row>
    <row r="37" spans="1:4">
      <c r="A37" s="72" t="s">
        <v>158</v>
      </c>
      <c r="B37" s="59">
        <f>SUM(C37*0.0016)</f>
        <v>4.412182006835938E-2</v>
      </c>
      <c r="C37" s="59">
        <v>27.576137542724609</v>
      </c>
      <c r="D37" s="59">
        <f t="shared" ref="D37:D42" si="4">C37*100/$C$57</f>
        <v>8.5291472639190083E-2</v>
      </c>
    </row>
    <row r="38" spans="1:4">
      <c r="A38" s="72" t="s">
        <v>28</v>
      </c>
      <c r="B38" s="59">
        <f>SUM(C38*0.0016)</f>
        <v>0.16779296875000002</v>
      </c>
      <c r="C38" s="59">
        <v>104.87060546875</v>
      </c>
      <c r="D38" s="59">
        <f t="shared" si="4"/>
        <v>0.32435899926648815</v>
      </c>
    </row>
    <row r="39" spans="1:4">
      <c r="A39" s="72" t="s">
        <v>159</v>
      </c>
      <c r="B39" s="59">
        <f t="shared" si="1"/>
        <v>6.9434686279296873E-2</v>
      </c>
      <c r="C39" s="59">
        <v>43.396678924560547</v>
      </c>
      <c r="D39" s="59">
        <f t="shared" si="4"/>
        <v>0.13422353465532383</v>
      </c>
    </row>
    <row r="40" spans="1:4">
      <c r="A40" s="72" t="s">
        <v>160</v>
      </c>
      <c r="B40" s="59">
        <f t="shared" si="1"/>
        <v>4.1438000488281251E-2</v>
      </c>
      <c r="C40" s="59">
        <v>25.898750305175781</v>
      </c>
      <c r="D40" s="59">
        <f t="shared" si="4"/>
        <v>8.0103406418709985E-2</v>
      </c>
    </row>
    <row r="41" spans="1:4">
      <c r="A41" s="72" t="s">
        <v>161</v>
      </c>
      <c r="B41" s="59">
        <f t="shared" si="1"/>
        <v>1.916570739746094E-2</v>
      </c>
      <c r="C41" s="59">
        <v>11.978567123413086</v>
      </c>
      <c r="D41" s="59">
        <f t="shared" si="4"/>
        <v>3.704904751364773E-2</v>
      </c>
    </row>
    <row r="42" spans="1:4">
      <c r="A42" s="72" t="s">
        <v>162</v>
      </c>
      <c r="B42" s="59">
        <f t="shared" si="1"/>
        <v>1.8435511779785158E-2</v>
      </c>
      <c r="C42" s="59">
        <v>11.522194862365723</v>
      </c>
      <c r="D42" s="59">
        <f t="shared" si="4"/>
        <v>3.563751327843806E-2</v>
      </c>
    </row>
    <row r="43" spans="1:4">
      <c r="A43" s="57" t="s">
        <v>29</v>
      </c>
      <c r="B43" s="58">
        <f>SUM(B44:B51)</f>
        <v>7.3124943481445328</v>
      </c>
      <c r="C43" s="58">
        <f>SUM(C44:C51)</f>
        <v>4570.308967590332</v>
      </c>
      <c r="D43" s="58">
        <f>C43*100/C57</f>
        <v>14.13571359143147</v>
      </c>
    </row>
    <row r="44" spans="1:4">
      <c r="A44" s="72" t="s">
        <v>30</v>
      </c>
      <c r="B44" s="59">
        <f>SUM(C44*0.0016)</f>
        <v>6.5634148437500004</v>
      </c>
      <c r="C44" s="59">
        <v>4102.13427734375</v>
      </c>
      <c r="D44" s="59">
        <f t="shared" ref="D44:D51" si="5">C44*100/$C$57</f>
        <v>12.687675093593954</v>
      </c>
    </row>
    <row r="45" spans="1:4">
      <c r="A45" s="72" t="s">
        <v>31</v>
      </c>
      <c r="B45" s="59">
        <f t="shared" si="1"/>
        <v>0.2865498779296875</v>
      </c>
      <c r="C45" s="59">
        <v>179.09367370605469</v>
      </c>
      <c r="D45" s="59">
        <f t="shared" si="5"/>
        <v>0.55392685603941783</v>
      </c>
    </row>
    <row r="46" spans="1:4">
      <c r="A46" s="72" t="s">
        <v>39</v>
      </c>
      <c r="B46" s="59">
        <f t="shared" si="1"/>
        <v>6.0520666503906251E-2</v>
      </c>
      <c r="C46" s="59">
        <v>37.825416564941406</v>
      </c>
      <c r="D46" s="59">
        <f t="shared" si="5"/>
        <v>0.11699192742334683</v>
      </c>
    </row>
    <row r="47" spans="1:4">
      <c r="A47" s="72" t="s">
        <v>88</v>
      </c>
      <c r="B47" s="59">
        <f t="shared" si="1"/>
        <v>0.25609985351562503</v>
      </c>
      <c r="C47" s="59">
        <v>160.06240844726563</v>
      </c>
      <c r="D47" s="59">
        <f t="shared" si="5"/>
        <v>0.49506420213822183</v>
      </c>
    </row>
    <row r="48" spans="1:4">
      <c r="A48" s="72" t="s">
        <v>84</v>
      </c>
      <c r="B48" s="59">
        <f t="shared" si="1"/>
        <v>5.1002883911132814E-2</v>
      </c>
      <c r="C48" s="59">
        <v>31.876802444458008</v>
      </c>
      <c r="D48" s="59">
        <f t="shared" si="5"/>
        <v>9.8593192005370658E-2</v>
      </c>
    </row>
    <row r="49" spans="1:4">
      <c r="A49" s="72" t="s">
        <v>163</v>
      </c>
      <c r="B49" s="59">
        <f t="shared" si="1"/>
        <v>3.4411267089843753E-2</v>
      </c>
      <c r="C49" s="59">
        <v>21.507041931152344</v>
      </c>
      <c r="D49" s="59">
        <f t="shared" si="5"/>
        <v>6.6520094613640099E-2</v>
      </c>
    </row>
    <row r="50" spans="1:4">
      <c r="A50" s="72" t="s">
        <v>164</v>
      </c>
      <c r="B50" s="59">
        <f t="shared" si="1"/>
        <v>1.906658935546875E-2</v>
      </c>
      <c r="C50" s="59">
        <v>11.916618347167969</v>
      </c>
      <c r="D50" s="59">
        <f t="shared" si="5"/>
        <v>3.6857443365098809E-2</v>
      </c>
    </row>
    <row r="51" spans="1:4">
      <c r="A51" s="72" t="s">
        <v>83</v>
      </c>
      <c r="B51" s="59">
        <f t="shared" si="1"/>
        <v>4.1428366088867193E-2</v>
      </c>
      <c r="C51" s="59">
        <v>25.892728805541992</v>
      </c>
      <c r="D51" s="59">
        <f t="shared" si="5"/>
        <v>8.0084782252418885E-2</v>
      </c>
    </row>
    <row r="52" spans="1:4">
      <c r="A52" s="57" t="s">
        <v>62</v>
      </c>
      <c r="B52" s="58">
        <f>SUM(B53:B56)</f>
        <v>0.88680353889465324</v>
      </c>
      <c r="C52" s="58">
        <f>SUM(C53:C56)</f>
        <v>554.25221180915833</v>
      </c>
      <c r="D52" s="58">
        <f>C52*100/C57</f>
        <v>1.7142715249911207</v>
      </c>
    </row>
    <row r="53" spans="1:4">
      <c r="A53" s="72" t="s">
        <v>72</v>
      </c>
      <c r="B53" s="59">
        <f t="shared" si="1"/>
        <v>0.61257192382812498</v>
      </c>
      <c r="C53" s="59">
        <v>382.85745239257813</v>
      </c>
      <c r="D53" s="59">
        <f>C53*100/$C$57</f>
        <v>1.184156986266077</v>
      </c>
    </row>
    <row r="54" spans="1:4">
      <c r="A54" s="72" t="s">
        <v>85</v>
      </c>
      <c r="B54" s="59">
        <f t="shared" si="1"/>
        <v>4.3679309844970706E-3</v>
      </c>
      <c r="C54" s="59">
        <v>2.7299568653106689</v>
      </c>
      <c r="D54" s="59">
        <f>C54*100/$C$57</f>
        <v>8.443606031593956E-3</v>
      </c>
    </row>
    <row r="55" spans="1:4">
      <c r="A55" s="72" t="s">
        <v>165</v>
      </c>
      <c r="B55" s="59">
        <f t="shared" si="1"/>
        <v>0.22589335937500002</v>
      </c>
      <c r="C55" s="59">
        <v>141.183349609375</v>
      </c>
      <c r="D55" s="59">
        <f>C55*100/$C$57</f>
        <v>0.43667231430292081</v>
      </c>
    </row>
    <row r="56" spans="1:4">
      <c r="A56" s="72" t="s">
        <v>63</v>
      </c>
      <c r="B56" s="59">
        <f t="shared" si="1"/>
        <v>4.3970324707031251E-2</v>
      </c>
      <c r="C56" s="59">
        <v>27.481452941894531</v>
      </c>
      <c r="D56" s="59">
        <f>C56*100/$C$57</f>
        <v>8.4998618390528927E-2</v>
      </c>
    </row>
    <row r="57" spans="1:4">
      <c r="A57" s="57" t="s">
        <v>14</v>
      </c>
      <c r="B57" s="58">
        <f>SUM(B2+B33+B36+B43+B52)</f>
        <v>51.73063461456298</v>
      </c>
      <c r="C57" s="58">
        <f>SUM(C52,C43,C36,C33,C2)</f>
        <v>32331.64663410186</v>
      </c>
      <c r="D57" s="58">
        <f>SUM(D52,D43,D36,D33,D2)</f>
        <v>100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BF442-0E1C-4E53-8699-1741869393E7}">
  <dimension ref="A1:G4"/>
  <sheetViews>
    <sheetView workbookViewId="0">
      <selection activeCell="D13" sqref="D13"/>
    </sheetView>
  </sheetViews>
  <sheetFormatPr defaultRowHeight="15"/>
  <cols>
    <col min="1" max="1" width="9" customWidth="1"/>
    <col min="2" max="2" width="24.5703125" customWidth="1"/>
    <col min="3" max="3" width="27" customWidth="1"/>
    <col min="4" max="4" width="17.5703125" customWidth="1"/>
    <col min="5" max="5" width="11.5703125" customWidth="1"/>
    <col min="6" max="6" width="13.140625" customWidth="1"/>
    <col min="7" max="7" width="14.140625" customWidth="1"/>
  </cols>
  <sheetData>
    <row r="1" spans="1:7">
      <c r="A1" s="93" t="s">
        <v>22</v>
      </c>
      <c r="B1" s="93"/>
      <c r="C1" s="93"/>
      <c r="D1" s="93"/>
      <c r="E1" s="93"/>
      <c r="F1" s="93"/>
      <c r="G1" s="93"/>
    </row>
    <row r="2" spans="1:7">
      <c r="A2" s="30" t="s">
        <v>15</v>
      </c>
      <c r="B2" s="30" t="s">
        <v>16</v>
      </c>
      <c r="C2" s="30" t="s">
        <v>17</v>
      </c>
      <c r="D2" s="30" t="s">
        <v>18</v>
      </c>
      <c r="E2" s="30" t="s">
        <v>19</v>
      </c>
      <c r="F2" s="30" t="s">
        <v>20</v>
      </c>
      <c r="G2" s="30" t="s">
        <v>21</v>
      </c>
    </row>
    <row r="3" spans="1:7">
      <c r="A3" s="32">
        <v>1</v>
      </c>
      <c r="B3" s="75" t="s">
        <v>166</v>
      </c>
      <c r="C3" s="74"/>
      <c r="D3" s="75" t="s">
        <v>167</v>
      </c>
      <c r="E3" s="75" t="s">
        <v>109</v>
      </c>
      <c r="F3" s="75" t="s">
        <v>106</v>
      </c>
      <c r="G3" s="75" t="s">
        <v>107</v>
      </c>
    </row>
    <row r="4" spans="1:7">
      <c r="A4" s="32"/>
      <c r="B4" s="33"/>
      <c r="C4" s="32"/>
      <c r="D4" s="33"/>
      <c r="E4" s="33"/>
      <c r="F4" s="33"/>
      <c r="G4" s="33"/>
    </row>
  </sheetData>
  <mergeCells count="1">
    <mergeCell ref="A1:G1"/>
  </mergeCells>
  <dataValidations count="1">
    <dataValidation type="list" allowBlank="1" showInputMessage="1" showErrorMessage="1" sqref="C2" xr:uid="{30EBDD22-9382-4653-BE6B-699686D34BEE}">
      <formula1>#REF!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20C6C-469B-48F2-80AE-B9D6F6CA867D}">
  <dimension ref="A1:B3"/>
  <sheetViews>
    <sheetView workbookViewId="0"/>
  </sheetViews>
  <sheetFormatPr defaultRowHeight="15"/>
  <cols>
    <col min="1" max="1" width="60.5703125" customWidth="1"/>
  </cols>
  <sheetData>
    <row r="1" spans="1:2">
      <c r="A1" s="15" t="s">
        <v>58</v>
      </c>
    </row>
    <row r="2" spans="1:2">
      <c r="A2" t="s">
        <v>182</v>
      </c>
      <c r="B2" s="31" t="s">
        <v>57</v>
      </c>
    </row>
    <row r="3" spans="1:2">
      <c r="A3" t="s">
        <v>183</v>
      </c>
    </row>
  </sheetData>
  <hyperlinks>
    <hyperlink ref="B2" r:id="rId1" xr:uid="{E7165171-5A82-46B6-B2CD-81434FD2221C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ED127-0A18-4DC1-81DE-40CBE3D2C8F9}">
  <dimension ref="A1:A11"/>
  <sheetViews>
    <sheetView workbookViewId="0">
      <selection activeCell="D6" sqref="D6"/>
    </sheetView>
  </sheetViews>
  <sheetFormatPr defaultRowHeight="15"/>
  <cols>
    <col min="1" max="1" width="73.85546875" customWidth="1"/>
  </cols>
  <sheetData>
    <row r="1" spans="1:1">
      <c r="A1" s="16" t="s">
        <v>65</v>
      </c>
    </row>
    <row r="2" spans="1:1">
      <c r="A2" s="43" t="s">
        <v>184</v>
      </c>
    </row>
    <row r="3" spans="1:1">
      <c r="A3" s="43" t="s">
        <v>185</v>
      </c>
    </row>
    <row r="4" spans="1:1">
      <c r="A4" s="43" t="s">
        <v>186</v>
      </c>
    </row>
    <row r="5" spans="1:1">
      <c r="A5" s="43" t="s">
        <v>187</v>
      </c>
    </row>
    <row r="8" spans="1:1">
      <c r="A8" s="16" t="s">
        <v>64</v>
      </c>
    </row>
    <row r="9" spans="1:1">
      <c r="A9" s="43" t="s">
        <v>188</v>
      </c>
    </row>
    <row r="10" spans="1:1">
      <c r="A10" s="43" t="s">
        <v>189</v>
      </c>
    </row>
    <row r="11" spans="1:1">
      <c r="A11" s="43" t="s">
        <v>190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38D18-C7C2-45AD-8D57-D8CB4D3ACD40}">
  <dimension ref="A1:A2"/>
  <sheetViews>
    <sheetView workbookViewId="0">
      <selection activeCell="A4" sqref="A4"/>
    </sheetView>
  </sheetViews>
  <sheetFormatPr defaultRowHeight="15"/>
  <cols>
    <col min="1" max="1" width="49.7109375" customWidth="1"/>
  </cols>
  <sheetData>
    <row r="1" spans="1:1">
      <c r="A1" s="15" t="s">
        <v>191</v>
      </c>
    </row>
    <row r="2" spans="1:1">
      <c r="A2" t="s">
        <v>192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57108-1D9F-4D1C-9785-F9489960CDF7}">
  <dimension ref="A1:B43"/>
  <sheetViews>
    <sheetView zoomScale="160" zoomScaleNormal="160" workbookViewId="0">
      <selection activeCell="A19" sqref="A19"/>
    </sheetView>
  </sheetViews>
  <sheetFormatPr defaultRowHeight="15"/>
  <cols>
    <col min="1" max="1" width="15.85546875" customWidth="1"/>
    <col min="2" max="2" width="15.28515625" customWidth="1"/>
  </cols>
  <sheetData>
    <row r="1" spans="1:2">
      <c r="A1" s="94" t="s">
        <v>37</v>
      </c>
      <c r="B1" s="94"/>
    </row>
    <row r="2" spans="1:2">
      <c r="A2" s="51" t="s">
        <v>36</v>
      </c>
      <c r="B2" s="51" t="s">
        <v>7</v>
      </c>
    </row>
    <row r="3" spans="1:2">
      <c r="A3" s="81" t="s">
        <v>195</v>
      </c>
      <c r="B3" s="52" t="s">
        <v>196</v>
      </c>
    </row>
    <row r="4" spans="1:2">
      <c r="A4" s="81" t="s">
        <v>198</v>
      </c>
      <c r="B4" s="52" t="s">
        <v>197</v>
      </c>
    </row>
    <row r="5" spans="1:2">
      <c r="A5" s="81" t="s">
        <v>200</v>
      </c>
      <c r="B5" s="52" t="s">
        <v>199</v>
      </c>
    </row>
    <row r="6" spans="1:2">
      <c r="A6" s="81" t="s">
        <v>198</v>
      </c>
      <c r="B6" s="52" t="s">
        <v>201</v>
      </c>
    </row>
    <row r="7" spans="1:2">
      <c r="A7" s="81" t="s">
        <v>203</v>
      </c>
      <c r="B7" s="52" t="s">
        <v>202</v>
      </c>
    </row>
    <row r="8" spans="1:2">
      <c r="A8" s="81" t="s">
        <v>205</v>
      </c>
      <c r="B8" s="52" t="s">
        <v>204</v>
      </c>
    </row>
    <row r="9" spans="1:2">
      <c r="A9" s="81" t="s">
        <v>207</v>
      </c>
      <c r="B9" s="52" t="s">
        <v>206</v>
      </c>
    </row>
    <row r="10" spans="1:2">
      <c r="A10" s="81" t="s">
        <v>209</v>
      </c>
      <c r="B10" s="52" t="s">
        <v>208</v>
      </c>
    </row>
    <row r="11" spans="1:2">
      <c r="A11" s="81" t="s">
        <v>211</v>
      </c>
      <c r="B11" s="52" t="s">
        <v>210</v>
      </c>
    </row>
    <row r="12" spans="1:2">
      <c r="A12" s="81" t="s">
        <v>213</v>
      </c>
      <c r="B12" s="52" t="s">
        <v>212</v>
      </c>
    </row>
    <row r="13" spans="1:2">
      <c r="A13" s="81" t="s">
        <v>215</v>
      </c>
      <c r="B13" s="52" t="s">
        <v>214</v>
      </c>
    </row>
    <row r="14" spans="1:2">
      <c r="A14" s="82" t="s">
        <v>217</v>
      </c>
      <c r="B14" s="52" t="s">
        <v>216</v>
      </c>
    </row>
    <row r="15" spans="1:2">
      <c r="A15" s="81" t="s">
        <v>219</v>
      </c>
      <c r="B15" s="52" t="s">
        <v>218</v>
      </c>
    </row>
    <row r="16" spans="1:2">
      <c r="A16" s="81" t="s">
        <v>200</v>
      </c>
      <c r="B16" s="52" t="s">
        <v>220</v>
      </c>
    </row>
    <row r="17" spans="1:2">
      <c r="A17" s="81" t="s">
        <v>221</v>
      </c>
      <c r="B17" s="52" t="s">
        <v>222</v>
      </c>
    </row>
    <row r="18" spans="1:2">
      <c r="A18" s="81" t="s">
        <v>224</v>
      </c>
      <c r="B18" s="52" t="s">
        <v>223</v>
      </c>
    </row>
    <row r="19" spans="1:2">
      <c r="A19" s="81" t="s">
        <v>221</v>
      </c>
      <c r="B19" s="52" t="s">
        <v>225</v>
      </c>
    </row>
    <row r="20" spans="1:2">
      <c r="A20" s="83" t="s">
        <v>226</v>
      </c>
      <c r="B20" s="52" t="s">
        <v>227</v>
      </c>
    </row>
    <row r="21" spans="1:2">
      <c r="A21" s="81" t="s">
        <v>229</v>
      </c>
      <c r="B21" s="52" t="s">
        <v>228</v>
      </c>
    </row>
    <row r="22" spans="1:2">
      <c r="A22" s="81" t="s">
        <v>231</v>
      </c>
      <c r="B22" s="52" t="s">
        <v>230</v>
      </c>
    </row>
    <row r="23" spans="1:2">
      <c r="A23" s="81" t="s">
        <v>200</v>
      </c>
      <c r="B23" s="52" t="s">
        <v>232</v>
      </c>
    </row>
    <row r="24" spans="1:2">
      <c r="A24" s="81" t="s">
        <v>234</v>
      </c>
      <c r="B24" s="52" t="s">
        <v>233</v>
      </c>
    </row>
    <row r="25" spans="1:2">
      <c r="A25" s="81" t="s">
        <v>236</v>
      </c>
      <c r="B25" s="52" t="s">
        <v>235</v>
      </c>
    </row>
    <row r="26" spans="1:2">
      <c r="A26" s="81" t="s">
        <v>238</v>
      </c>
      <c r="B26" s="52" t="s">
        <v>237</v>
      </c>
    </row>
    <row r="27" spans="1:2">
      <c r="A27" s="83" t="s">
        <v>240</v>
      </c>
      <c r="B27" s="52" t="s">
        <v>239</v>
      </c>
    </row>
    <row r="28" spans="1:2">
      <c r="A28" s="81" t="s">
        <v>200</v>
      </c>
      <c r="B28" s="52" t="s">
        <v>241</v>
      </c>
    </row>
    <row r="29" spans="1:2">
      <c r="A29" s="81" t="s">
        <v>243</v>
      </c>
      <c r="B29" s="52" t="s">
        <v>242</v>
      </c>
    </row>
    <row r="30" spans="1:2">
      <c r="A30" s="81" t="s">
        <v>245</v>
      </c>
      <c r="B30" s="52" t="s">
        <v>244</v>
      </c>
    </row>
    <row r="31" spans="1:2">
      <c r="A31" s="81" t="s">
        <v>245</v>
      </c>
      <c r="B31" s="52" t="s">
        <v>246</v>
      </c>
    </row>
    <row r="32" spans="1:2">
      <c r="A32" s="81" t="s">
        <v>245</v>
      </c>
      <c r="B32" s="52" t="s">
        <v>247</v>
      </c>
    </row>
    <row r="33" spans="1:2">
      <c r="A33" s="81" t="s">
        <v>245</v>
      </c>
      <c r="B33" s="52" t="s">
        <v>248</v>
      </c>
    </row>
    <row r="34" spans="1:2">
      <c r="A34" s="81" t="s">
        <v>245</v>
      </c>
      <c r="B34" s="52" t="s">
        <v>249</v>
      </c>
    </row>
    <row r="35" spans="1:2">
      <c r="A35" s="81" t="s">
        <v>200</v>
      </c>
      <c r="B35" s="52" t="s">
        <v>250</v>
      </c>
    </row>
    <row r="36" spans="1:2">
      <c r="A36" s="81" t="s">
        <v>252</v>
      </c>
      <c r="B36" s="52" t="s">
        <v>251</v>
      </c>
    </row>
    <row r="37" spans="1:2">
      <c r="A37" s="81" t="s">
        <v>200</v>
      </c>
      <c r="B37" s="52" t="s">
        <v>253</v>
      </c>
    </row>
    <row r="38" spans="1:2">
      <c r="A38" s="81" t="s">
        <v>255</v>
      </c>
      <c r="B38" s="52" t="s">
        <v>254</v>
      </c>
    </row>
    <row r="39" spans="1:2">
      <c r="A39" s="81" t="s">
        <v>200</v>
      </c>
      <c r="B39" s="52" t="s">
        <v>256</v>
      </c>
    </row>
    <row r="40" spans="1:2">
      <c r="A40" s="83" t="s">
        <v>258</v>
      </c>
      <c r="B40" s="52" t="s">
        <v>257</v>
      </c>
    </row>
    <row r="41" spans="1:2">
      <c r="A41" s="83" t="s">
        <v>258</v>
      </c>
      <c r="B41" s="52" t="s">
        <v>259</v>
      </c>
    </row>
    <row r="42" spans="1:2">
      <c r="A42" s="81" t="s">
        <v>200</v>
      </c>
      <c r="B42" s="52" t="s">
        <v>260</v>
      </c>
    </row>
    <row r="43" spans="1:2">
      <c r="A43" s="81" t="s">
        <v>200</v>
      </c>
      <c r="B43" s="52" t="s">
        <v>261</v>
      </c>
    </row>
  </sheetData>
  <mergeCells count="1">
    <mergeCell ref="A1:B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39274-D86A-47ED-BB02-6E02561AE567}">
  <dimension ref="A1:C2"/>
  <sheetViews>
    <sheetView workbookViewId="0">
      <selection activeCell="E4" sqref="E4"/>
    </sheetView>
  </sheetViews>
  <sheetFormatPr defaultRowHeight="15"/>
  <cols>
    <col min="1" max="1" width="11.42578125" customWidth="1"/>
    <col min="3" max="3" width="14.42578125" customWidth="1"/>
  </cols>
  <sheetData>
    <row r="1" spans="1:3" ht="15.75">
      <c r="A1" s="13" t="s">
        <v>40</v>
      </c>
      <c r="B1" s="17"/>
      <c r="C1" s="18" t="s">
        <v>41</v>
      </c>
    </row>
    <row r="2" spans="1:3">
      <c r="A2" s="39">
        <v>2.4E-2</v>
      </c>
      <c r="C2" s="6" t="s">
        <v>193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08B3-5FA5-451E-AEDC-2B065E696D9E}">
  <dimension ref="A1:E20"/>
  <sheetViews>
    <sheetView workbookViewId="0">
      <selection activeCell="C8" sqref="C8"/>
    </sheetView>
  </sheetViews>
  <sheetFormatPr defaultRowHeight="15"/>
  <cols>
    <col min="1" max="1" width="17.7109375" customWidth="1"/>
    <col min="2" max="2" width="27.28515625" customWidth="1"/>
    <col min="3" max="3" width="12.42578125" customWidth="1"/>
    <col min="4" max="4" width="10.7109375" customWidth="1"/>
    <col min="5" max="5" width="11.42578125" customWidth="1"/>
  </cols>
  <sheetData>
    <row r="1" spans="1:5" ht="21.75" thickBot="1">
      <c r="A1" s="95" t="s">
        <v>55</v>
      </c>
      <c r="B1" s="95"/>
      <c r="C1" s="95"/>
      <c r="D1" s="95"/>
      <c r="E1" s="95"/>
    </row>
    <row r="2" spans="1:5" ht="19.5" thickBot="1">
      <c r="A2" s="19" t="s">
        <v>42</v>
      </c>
      <c r="B2" s="20" t="s">
        <v>43</v>
      </c>
      <c r="C2" s="21" t="s">
        <v>23</v>
      </c>
      <c r="D2" s="21" t="s">
        <v>12</v>
      </c>
      <c r="E2" s="21" t="s">
        <v>24</v>
      </c>
    </row>
    <row r="3" spans="1:5" ht="19.5" thickBot="1">
      <c r="A3" s="22" t="s">
        <v>44</v>
      </c>
      <c r="B3" s="23" t="s">
        <v>45</v>
      </c>
      <c r="C3" s="24">
        <f>SUM(D3*0.0016)</f>
        <v>44.693536000000002</v>
      </c>
      <c r="D3" s="24">
        <v>27933.46</v>
      </c>
      <c r="E3" s="24">
        <f>D3*100/$D$8</f>
        <v>86.397162400895397</v>
      </c>
    </row>
    <row r="4" spans="1:5" ht="19.5" thickBot="1">
      <c r="A4" s="22" t="s">
        <v>46</v>
      </c>
      <c r="B4" s="23" t="s">
        <v>47</v>
      </c>
      <c r="C4" s="24">
        <f>SUM(D4*0.0016)</f>
        <v>6.1084703999999999</v>
      </c>
      <c r="D4" s="24">
        <v>3817.7939999999999</v>
      </c>
      <c r="E4" s="24">
        <f t="shared" ref="E4:E7" si="0">D4*100/$D$8</f>
        <v>11.808296152040027</v>
      </c>
    </row>
    <row r="5" spans="1:5" ht="19.5" thickBot="1">
      <c r="A5" s="22" t="s">
        <v>48</v>
      </c>
      <c r="B5" s="23" t="s">
        <v>49</v>
      </c>
      <c r="C5" s="24">
        <f>SUM(D5*0.0016)</f>
        <v>0.83251615999999995</v>
      </c>
      <c r="D5" s="24">
        <v>520.32259999999997</v>
      </c>
      <c r="E5" s="24">
        <f t="shared" si="0"/>
        <v>1.6093386273328163</v>
      </c>
    </row>
    <row r="6" spans="1:5" ht="19.5" thickBot="1">
      <c r="A6" s="22" t="s">
        <v>50</v>
      </c>
      <c r="B6" s="23" t="s">
        <v>51</v>
      </c>
      <c r="C6" s="24">
        <f t="shared" ref="C6:C7" si="1">SUM(D6*0.0016)</f>
        <v>3.7719312000000006E-3</v>
      </c>
      <c r="D6" s="24">
        <v>2.3574570000000001</v>
      </c>
      <c r="E6" s="24">
        <f t="shared" si="0"/>
        <v>7.2915276260845478E-3</v>
      </c>
    </row>
    <row r="7" spans="1:5" ht="19.5" thickBot="1">
      <c r="A7" s="22" t="s">
        <v>52</v>
      </c>
      <c r="B7" s="23" t="s">
        <v>53</v>
      </c>
      <c r="C7" s="24">
        <f t="shared" si="1"/>
        <v>9.203409600000001E-2</v>
      </c>
      <c r="D7" s="24">
        <v>57.52131</v>
      </c>
      <c r="E7" s="24">
        <f t="shared" si="0"/>
        <v>0.17791129210567716</v>
      </c>
    </row>
    <row r="8" spans="1:5" ht="18.75">
      <c r="A8" s="96" t="s">
        <v>14</v>
      </c>
      <c r="B8" s="96"/>
      <c r="C8" s="26">
        <f>SUM(C3:C7)</f>
        <v>51.730328587199999</v>
      </c>
      <c r="D8" s="26">
        <f>SUM(D3:D7)</f>
        <v>32331.455366999999</v>
      </c>
      <c r="E8" s="26">
        <f>SUM(E3:E7)</f>
        <v>100</v>
      </c>
    </row>
    <row r="9" spans="1:5">
      <c r="C9" s="7"/>
      <c r="D9" s="7"/>
    </row>
    <row r="13" spans="1:5" ht="21.75" thickBot="1">
      <c r="A13" s="95" t="s">
        <v>54</v>
      </c>
      <c r="B13" s="95"/>
      <c r="C13" s="95"/>
      <c r="D13" s="95"/>
      <c r="E13" s="95"/>
    </row>
    <row r="14" spans="1:5" ht="19.5" thickBot="1">
      <c r="A14" s="19" t="s">
        <v>42</v>
      </c>
      <c r="B14" s="20" t="s">
        <v>43</v>
      </c>
      <c r="C14" s="21" t="s">
        <v>23</v>
      </c>
      <c r="D14" s="21" t="s">
        <v>12</v>
      </c>
      <c r="E14" s="21" t="s">
        <v>24</v>
      </c>
    </row>
    <row r="15" spans="1:5" ht="19.5" thickBot="1">
      <c r="A15" s="22" t="s">
        <v>44</v>
      </c>
      <c r="B15" s="23" t="s">
        <v>45</v>
      </c>
      <c r="C15" s="24">
        <f t="shared" ref="C15:C17" si="2">SUM(D15*0.0016)</f>
        <v>3.7613088000000006</v>
      </c>
      <c r="D15" s="24">
        <v>2350.8180000000002</v>
      </c>
      <c r="E15" s="24">
        <f>D15*100/$D$20</f>
        <v>90.769878358482956</v>
      </c>
    </row>
    <row r="16" spans="1:5" ht="19.5" thickBot="1">
      <c r="A16" s="22" t="s">
        <v>46</v>
      </c>
      <c r="B16" s="23" t="s">
        <v>47</v>
      </c>
      <c r="C16" s="24">
        <f t="shared" si="2"/>
        <v>0.33401136000000003</v>
      </c>
      <c r="D16" s="24">
        <v>208.75710000000001</v>
      </c>
      <c r="E16" s="24">
        <f t="shared" ref="E16:E19" si="3">D16*100/$D$20</f>
        <v>8.0605374697103986</v>
      </c>
    </row>
    <row r="17" spans="1:5" ht="19.5" thickBot="1">
      <c r="A17" s="22" t="s">
        <v>48</v>
      </c>
      <c r="B17" s="23" t="s">
        <v>49</v>
      </c>
      <c r="C17" s="24">
        <f t="shared" si="2"/>
        <v>4.8465055999999999E-2</v>
      </c>
      <c r="D17" s="24">
        <v>30.290659999999999</v>
      </c>
      <c r="E17" s="24">
        <f t="shared" si="3"/>
        <v>1.1695841718066498</v>
      </c>
    </row>
    <row r="18" spans="1:5" ht="19.5" thickBot="1">
      <c r="A18" s="22" t="s">
        <v>50</v>
      </c>
      <c r="B18" s="23" t="s">
        <v>51</v>
      </c>
      <c r="C18" s="24">
        <v>0</v>
      </c>
      <c r="D18" s="24">
        <v>0</v>
      </c>
      <c r="E18" s="24">
        <f t="shared" si="3"/>
        <v>0</v>
      </c>
    </row>
    <row r="19" spans="1:5" ht="19.5" thickBot="1">
      <c r="A19" s="27" t="s">
        <v>52</v>
      </c>
      <c r="B19" s="28" t="s">
        <v>53</v>
      </c>
      <c r="C19" s="29">
        <v>0</v>
      </c>
      <c r="D19" s="29">
        <v>0</v>
      </c>
      <c r="E19" s="24">
        <f t="shared" si="3"/>
        <v>0</v>
      </c>
    </row>
    <row r="20" spans="1:5" ht="18.75">
      <c r="A20" s="25" t="s">
        <v>14</v>
      </c>
      <c r="B20" s="25"/>
      <c r="C20" s="26">
        <f>SUM(C15:C19)</f>
        <v>4.1437852160000013</v>
      </c>
      <c r="D20" s="26">
        <f>SUM(D15:D19)</f>
        <v>2589.8657600000001</v>
      </c>
      <c r="E20" s="26">
        <f>SUM(E15:E19)</f>
        <v>100</v>
      </c>
    </row>
  </sheetData>
  <mergeCells count="3">
    <mergeCell ref="A1:E1"/>
    <mergeCell ref="A8:B8"/>
    <mergeCell ref="A13:E1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5F640-1183-4CB4-BB99-03142BAA3301}">
  <dimension ref="A1:E8"/>
  <sheetViews>
    <sheetView workbookViewId="0">
      <selection activeCell="G5" sqref="G5"/>
    </sheetView>
  </sheetViews>
  <sheetFormatPr defaultRowHeight="15"/>
  <cols>
    <col min="1" max="1" width="18.42578125" customWidth="1"/>
    <col min="3" max="3" width="10.42578125" customWidth="1"/>
    <col min="5" max="5" width="21.140625" customWidth="1"/>
    <col min="6" max="6" width="15.5703125" customWidth="1"/>
  </cols>
  <sheetData>
    <row r="1" spans="1:5">
      <c r="A1" s="97" t="s">
        <v>171</v>
      </c>
      <c r="B1" s="98"/>
      <c r="C1" s="98"/>
      <c r="D1" s="98"/>
      <c r="E1" s="98"/>
    </row>
    <row r="2" spans="1:5">
      <c r="A2" s="42" t="s">
        <v>67</v>
      </c>
      <c r="B2" s="41" t="s">
        <v>10</v>
      </c>
      <c r="C2" s="41" t="s">
        <v>11</v>
      </c>
      <c r="D2" s="41" t="s">
        <v>12</v>
      </c>
      <c r="E2" s="35" t="s">
        <v>169</v>
      </c>
    </row>
    <row r="3" spans="1:5">
      <c r="A3" s="76" t="s">
        <v>168</v>
      </c>
      <c r="B3" s="59">
        <f>SUM(C3*0.0016)</f>
        <v>877.59936000000005</v>
      </c>
      <c r="C3" s="36">
        <v>548499.6</v>
      </c>
      <c r="D3" s="44">
        <v>342.812255859375</v>
      </c>
      <c r="E3" s="60" t="s">
        <v>170</v>
      </c>
    </row>
    <row r="4" spans="1:5">
      <c r="A4" s="76" t="s">
        <v>86</v>
      </c>
      <c r="B4" s="45">
        <f>C4/1000000</f>
        <v>5.4561820000000001</v>
      </c>
      <c r="C4" s="36">
        <v>5456182</v>
      </c>
      <c r="D4" s="44">
        <v>3410.11376953125</v>
      </c>
      <c r="E4" s="53"/>
    </row>
    <row r="5" spans="1:5">
      <c r="A5" s="77" t="s">
        <v>68</v>
      </c>
      <c r="B5" s="45">
        <f>C5/1000000</f>
        <v>2.0153636454549999</v>
      </c>
      <c r="C5" s="36">
        <v>2015363.645455</v>
      </c>
      <c r="D5" s="44">
        <v>1259.602294921875</v>
      </c>
      <c r="E5" s="53"/>
    </row>
    <row r="6" spans="1:5">
      <c r="A6" s="77" t="s">
        <v>69</v>
      </c>
      <c r="B6" s="45">
        <f>C6/1000000</f>
        <v>8.223536902518001</v>
      </c>
      <c r="C6" s="36">
        <v>8223536.9025180005</v>
      </c>
      <c r="D6" s="44">
        <v>5139.71044921875</v>
      </c>
      <c r="E6" s="53"/>
    </row>
    <row r="7" spans="1:5">
      <c r="A7" s="76" t="s">
        <v>70</v>
      </c>
      <c r="B7" s="45">
        <f>C7/1000000</f>
        <v>36.012909579324997</v>
      </c>
      <c r="C7" s="36">
        <v>36012909.579324998</v>
      </c>
      <c r="D7" s="44">
        <v>22508.068359375</v>
      </c>
      <c r="E7" s="53"/>
    </row>
    <row r="8" spans="1:5">
      <c r="A8" s="48"/>
      <c r="B8" s="49">
        <f>SUM(B3:B7)</f>
        <v>929.30735212729803</v>
      </c>
      <c r="C8" s="37">
        <f>SUM(C3:C7)</f>
        <v>52256491.727297999</v>
      </c>
      <c r="D8" s="46">
        <f>SUM(D7,D6,D5,D3)</f>
        <v>29250.193359375</v>
      </c>
      <c r="E8" s="62"/>
    </row>
  </sheetData>
  <mergeCells count="1">
    <mergeCell ref="A1:E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1.ป่า</vt:lpstr>
      <vt:lpstr>2.พื้นที่หมู่บ้าน</vt:lpstr>
      <vt:lpstr>3.ตรวจสอบสถานศึกษา</vt:lpstr>
      <vt:lpstr>4.การใช้ประโยชน์ที่ดิน</vt:lpstr>
      <vt:lpstr>5.แหล่งโบราณสถาน</vt:lpstr>
      <vt:lpstr>6.แหล่งทรัพยากรทางธรณี</vt:lpstr>
      <vt:lpstr>7.เสี่ยงต่อการเกิดดินถล่ม</vt:lpstr>
      <vt:lpstr>8.เสี่ยงต่อการเกิดแผ่นดินไหว</vt:lpstr>
      <vt:lpstr>9.จุดตัดแหล่งน้ำ</vt:lpstr>
      <vt:lpstr>10.ความลาดชัน</vt:lpstr>
      <vt:lpstr>11.การชะล้างพังทลาย</vt:lpstr>
      <vt:lpstr>12.ชั้นคุณภาพลุ่มน้ำ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nakorn srithiwong</dc:creator>
  <cp:lastModifiedBy>TMCC PC2026</cp:lastModifiedBy>
  <dcterms:created xsi:type="dcterms:W3CDTF">2026-02-18T11:46:51Z</dcterms:created>
  <dcterms:modified xsi:type="dcterms:W3CDTF">2026-07-07T09:55:51Z</dcterms:modified>
</cp:coreProperties>
</file>